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d\Desktop\POLO\"/>
    </mc:Choice>
  </mc:AlternateContent>
  <xr:revisionPtr revIDLastSave="0" documentId="13_ncr:1_{C6422545-3887-403C-8FDE-DD153688C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" sheetId="2" r:id="rId1"/>
    <sheet name="Lay out" sheetId="1" r:id="rId2"/>
    <sheet name="Feeding plan" sheetId="5" r:id="rId3"/>
    <sheet name="Capacity graph" sheetId="7" r:id="rId4"/>
    <sheet name="Bar chart" sheetId="8" r:id="rId5"/>
  </sheets>
  <externalReferences>
    <externalReference r:id="rId6"/>
  </externalReferences>
  <definedNames>
    <definedName name="Oushan_Jayasinghe">'[1]OB '!$A$15:$X$234</definedName>
    <definedName name="_xlnm.Print_Area" localSheetId="2">'Feeding plan'!$B$1:$N$518</definedName>
    <definedName name="_xlnm.Print_Area" localSheetId="1">'Lay out'!$A$1:$W$141</definedName>
    <definedName name="_xlnm.Print_Titles" localSheetId="2">'Feeding plan'!$4:$4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E133" i="2"/>
  <c r="K28" i="2"/>
  <c r="L28" i="2"/>
  <c r="M28" i="2"/>
  <c r="K94" i="2" l="1"/>
  <c r="L94" i="2"/>
  <c r="M94" i="2"/>
  <c r="K92" i="2"/>
  <c r="L92" i="2"/>
  <c r="M92" i="2"/>
  <c r="K36" i="2"/>
  <c r="L36" i="2"/>
  <c r="M36" i="2"/>
  <c r="K84" i="2"/>
  <c r="L84" i="2"/>
  <c r="M84" i="2"/>
  <c r="K85" i="2"/>
  <c r="L85" i="2"/>
  <c r="M85" i="2"/>
  <c r="K86" i="2"/>
  <c r="L86" i="2"/>
  <c r="M86" i="2"/>
  <c r="K38" i="2"/>
  <c r="L38" i="2"/>
  <c r="M38" i="2"/>
  <c r="K63" i="2" l="1"/>
  <c r="L63" i="2"/>
  <c r="M63" i="2"/>
  <c r="K45" i="2" l="1"/>
  <c r="L45" i="2"/>
  <c r="M45" i="2"/>
  <c r="K52" i="2"/>
  <c r="L52" i="2"/>
  <c r="M52" i="2"/>
  <c r="K21" i="2"/>
  <c r="L21" i="2"/>
  <c r="M21" i="2"/>
  <c r="K22" i="2"/>
  <c r="L22" i="2"/>
  <c r="M22" i="2"/>
  <c r="K23" i="2"/>
  <c r="L23" i="2"/>
  <c r="M23" i="2"/>
  <c r="K24" i="2"/>
  <c r="L24" i="2"/>
  <c r="M24" i="2"/>
  <c r="M20" i="2"/>
  <c r="L20" i="2"/>
  <c r="K20" i="2"/>
  <c r="G100" i="2"/>
  <c r="K124" i="2"/>
  <c r="L124" i="2"/>
  <c r="M124" i="2"/>
  <c r="G106" i="2"/>
  <c r="G127" i="2"/>
  <c r="K117" i="2"/>
  <c r="L117" i="2"/>
  <c r="M117" i="2"/>
  <c r="K120" i="2"/>
  <c r="L120" i="2"/>
  <c r="M120" i="2"/>
  <c r="K121" i="2"/>
  <c r="L121" i="2"/>
  <c r="M121" i="2"/>
  <c r="K122" i="2"/>
  <c r="L122" i="2"/>
  <c r="M122" i="2"/>
  <c r="K123" i="2"/>
  <c r="L123" i="2"/>
  <c r="M123" i="2"/>
  <c r="M116" i="2"/>
  <c r="L116" i="2"/>
  <c r="K116" i="2"/>
  <c r="M115" i="2"/>
  <c r="L115" i="2"/>
  <c r="K115" i="2"/>
  <c r="K110" i="2"/>
  <c r="L110" i="2"/>
  <c r="M110" i="2"/>
  <c r="M109" i="2"/>
  <c r="L109" i="2"/>
  <c r="K109" i="2"/>
  <c r="G112" i="2"/>
  <c r="L112" i="2" s="1"/>
  <c r="E137" i="2" s="1"/>
  <c r="K69" i="2"/>
  <c r="L69" i="2"/>
  <c r="M69" i="2"/>
  <c r="K90" i="2"/>
  <c r="L90" i="2"/>
  <c r="M90" i="2"/>
  <c r="K91" i="2"/>
  <c r="L91" i="2"/>
  <c r="M91" i="2"/>
  <c r="K93" i="2"/>
  <c r="L93" i="2"/>
  <c r="M93" i="2"/>
  <c r="M103" i="2"/>
  <c r="L103" i="2"/>
  <c r="K103" i="2"/>
  <c r="K65" i="2"/>
  <c r="L65" i="2"/>
  <c r="M65" i="2"/>
  <c r="K64" i="2"/>
  <c r="L64" i="2"/>
  <c r="M64" i="2"/>
  <c r="K62" i="2"/>
  <c r="L62" i="2"/>
  <c r="M62" i="2"/>
  <c r="K61" i="2"/>
  <c r="L61" i="2"/>
  <c r="M61" i="2"/>
  <c r="K60" i="2"/>
  <c r="L60" i="2"/>
  <c r="M60" i="2"/>
  <c r="K51" i="2"/>
  <c r="L51" i="2"/>
  <c r="M51" i="2"/>
  <c r="K50" i="2"/>
  <c r="L50" i="2"/>
  <c r="M50" i="2"/>
  <c r="K49" i="2"/>
  <c r="L49" i="2"/>
  <c r="M49" i="2"/>
  <c r="K48" i="2"/>
  <c r="L48" i="2"/>
  <c r="M48" i="2"/>
  <c r="K16" i="2"/>
  <c r="L16" i="2"/>
  <c r="M16" i="2"/>
  <c r="M15" i="2"/>
  <c r="L15" i="2"/>
  <c r="K15" i="2"/>
  <c r="T10" i="1"/>
  <c r="Q157" i="1"/>
  <c r="Q156" i="1"/>
  <c r="B156" i="1"/>
  <c r="U88" i="1"/>
  <c r="S88" i="1"/>
  <c r="Q88" i="1"/>
  <c r="F88" i="1"/>
  <c r="D88" i="1"/>
  <c r="B88" i="1"/>
  <c r="U109" i="1"/>
  <c r="S109" i="1"/>
  <c r="Q109" i="1"/>
  <c r="F109" i="1"/>
  <c r="D109" i="1"/>
  <c r="B109" i="1"/>
  <c r="U45" i="1"/>
  <c r="S45" i="1"/>
  <c r="Q45" i="1"/>
  <c r="F45" i="1"/>
  <c r="D45" i="1"/>
  <c r="B45" i="1"/>
  <c r="L106" i="2" l="1"/>
  <c r="E134" i="2" s="1"/>
  <c r="L133" i="2"/>
  <c r="T9" i="1"/>
  <c r="E141" i="2" l="1"/>
  <c r="U161" i="1"/>
  <c r="S161" i="1"/>
  <c r="U160" i="1"/>
  <c r="S160" i="1"/>
  <c r="Q160" i="1"/>
  <c r="U159" i="1"/>
  <c r="S159" i="1"/>
  <c r="Q159" i="1"/>
  <c r="U158" i="1"/>
  <c r="S158" i="1"/>
  <c r="U157" i="1"/>
  <c r="S157" i="1"/>
  <c r="U156" i="1"/>
  <c r="S156" i="1"/>
  <c r="U154" i="1"/>
  <c r="S154" i="1"/>
  <c r="Q154" i="1"/>
  <c r="U153" i="1"/>
  <c r="S153" i="1"/>
  <c r="Q153" i="1"/>
  <c r="U152" i="1"/>
  <c r="S152" i="1"/>
  <c r="Q152" i="1"/>
  <c r="U151" i="1"/>
  <c r="S151" i="1"/>
  <c r="Q151" i="1"/>
  <c r="U150" i="1"/>
  <c r="S150" i="1"/>
  <c r="Q150" i="1"/>
  <c r="U149" i="1"/>
  <c r="S149" i="1"/>
  <c r="Q149" i="1"/>
  <c r="U147" i="1"/>
  <c r="S147" i="1"/>
  <c r="Q147" i="1"/>
  <c r="U146" i="1"/>
  <c r="S146" i="1"/>
  <c r="Q146" i="1"/>
  <c r="U145" i="1"/>
  <c r="S145" i="1"/>
  <c r="Q145" i="1"/>
  <c r="U144" i="1"/>
  <c r="S144" i="1"/>
  <c r="Q144" i="1"/>
  <c r="U143" i="1"/>
  <c r="S143" i="1"/>
  <c r="Q143" i="1"/>
  <c r="U142" i="1"/>
  <c r="S142" i="1"/>
  <c r="Q142" i="1"/>
  <c r="U140" i="1"/>
  <c r="S140" i="1"/>
  <c r="Q140" i="1"/>
  <c r="U139" i="1"/>
  <c r="S139" i="1"/>
  <c r="Q139" i="1"/>
  <c r="U138" i="1"/>
  <c r="S138" i="1"/>
  <c r="Q138" i="1"/>
  <c r="U137" i="1"/>
  <c r="S137" i="1"/>
  <c r="Q137" i="1"/>
  <c r="U136" i="1"/>
  <c r="S136" i="1"/>
  <c r="Q136" i="1"/>
  <c r="U135" i="1"/>
  <c r="S135" i="1"/>
  <c r="Q135" i="1"/>
  <c r="U133" i="1"/>
  <c r="S133" i="1"/>
  <c r="Q133" i="1"/>
  <c r="U132" i="1"/>
  <c r="S132" i="1"/>
  <c r="Q132" i="1"/>
  <c r="U131" i="1"/>
  <c r="S131" i="1"/>
  <c r="Q131" i="1"/>
  <c r="U130" i="1"/>
  <c r="S130" i="1"/>
  <c r="Q130" i="1"/>
  <c r="U129" i="1"/>
  <c r="S129" i="1"/>
  <c r="Q129" i="1"/>
  <c r="U128" i="1"/>
  <c r="S128" i="1"/>
  <c r="Q128" i="1"/>
  <c r="U97" i="1"/>
  <c r="S97" i="1"/>
  <c r="Q97" i="1"/>
  <c r="U96" i="1"/>
  <c r="S96" i="1"/>
  <c r="Q96" i="1"/>
  <c r="U95" i="1"/>
  <c r="S95" i="1"/>
  <c r="Q95" i="1"/>
  <c r="U94" i="1"/>
  <c r="S94" i="1"/>
  <c r="Q94" i="1"/>
  <c r="U93" i="1"/>
  <c r="S93" i="1"/>
  <c r="Q93" i="1"/>
  <c r="U92" i="1"/>
  <c r="S92" i="1"/>
  <c r="Q92" i="1"/>
  <c r="S37" i="1"/>
  <c r="F161" i="1"/>
  <c r="D161" i="1"/>
  <c r="F160" i="1"/>
  <c r="D160" i="1"/>
  <c r="B160" i="1"/>
  <c r="F159" i="1"/>
  <c r="D159" i="1"/>
  <c r="B159" i="1"/>
  <c r="F158" i="1"/>
  <c r="D158" i="1"/>
  <c r="F157" i="1"/>
  <c r="D157" i="1"/>
  <c r="B157" i="1"/>
  <c r="F156" i="1"/>
  <c r="D156" i="1"/>
  <c r="F154" i="1"/>
  <c r="D154" i="1"/>
  <c r="B154" i="1"/>
  <c r="F153" i="1"/>
  <c r="D153" i="1"/>
  <c r="B153" i="1"/>
  <c r="F152" i="1"/>
  <c r="D152" i="1"/>
  <c r="B152" i="1"/>
  <c r="F151" i="1"/>
  <c r="D151" i="1"/>
  <c r="F150" i="1"/>
  <c r="D150" i="1"/>
  <c r="B150" i="1"/>
  <c r="F149" i="1"/>
  <c r="D149" i="1"/>
  <c r="F147" i="1"/>
  <c r="D147" i="1"/>
  <c r="B147" i="1"/>
  <c r="F146" i="1"/>
  <c r="D146" i="1"/>
  <c r="B146" i="1"/>
  <c r="F145" i="1"/>
  <c r="D145" i="1"/>
  <c r="B145" i="1"/>
  <c r="F144" i="1"/>
  <c r="D144" i="1"/>
  <c r="B144" i="1"/>
  <c r="F143" i="1"/>
  <c r="D143" i="1"/>
  <c r="B143" i="1"/>
  <c r="F142" i="1"/>
  <c r="D142" i="1"/>
  <c r="F140" i="1"/>
  <c r="D140" i="1"/>
  <c r="B140" i="1"/>
  <c r="F139" i="1"/>
  <c r="D139" i="1"/>
  <c r="B139" i="1"/>
  <c r="F138" i="1"/>
  <c r="D138" i="1"/>
  <c r="B138" i="1"/>
  <c r="F137" i="1"/>
  <c r="D137" i="1"/>
  <c r="B137" i="1"/>
  <c r="F136" i="1"/>
  <c r="D136" i="1"/>
  <c r="B136" i="1"/>
  <c r="F135" i="1"/>
  <c r="D135" i="1"/>
  <c r="B135" i="1"/>
  <c r="F133" i="1"/>
  <c r="D133" i="1"/>
  <c r="B133" i="1"/>
  <c r="F132" i="1"/>
  <c r="D132" i="1"/>
  <c r="B132" i="1"/>
  <c r="F131" i="1"/>
  <c r="D131" i="1"/>
  <c r="B131" i="1"/>
  <c r="F130" i="1"/>
  <c r="D130" i="1"/>
  <c r="B130" i="1"/>
  <c r="F129" i="1"/>
  <c r="D129" i="1"/>
  <c r="B129" i="1"/>
  <c r="F128" i="1"/>
  <c r="D128" i="1"/>
  <c r="B128" i="1"/>
  <c r="U124" i="1"/>
  <c r="S124" i="1"/>
  <c r="Q124" i="1"/>
  <c r="F124" i="1"/>
  <c r="D124" i="1"/>
  <c r="B124" i="1"/>
  <c r="U117" i="1"/>
  <c r="S117" i="1"/>
  <c r="Q117" i="1"/>
  <c r="F117" i="1"/>
  <c r="D117" i="1"/>
  <c r="B117" i="1"/>
  <c r="U110" i="1"/>
  <c r="S110" i="1"/>
  <c r="Q110" i="1"/>
  <c r="F110" i="1"/>
  <c r="D110" i="1"/>
  <c r="B110" i="1"/>
  <c r="U102" i="1"/>
  <c r="S102" i="1"/>
  <c r="Q102" i="1"/>
  <c r="F102" i="1"/>
  <c r="D102" i="1"/>
  <c r="B102" i="1"/>
  <c r="F95" i="1"/>
  <c r="D95" i="1"/>
  <c r="B95" i="1"/>
  <c r="U87" i="1"/>
  <c r="S87" i="1"/>
  <c r="Q87" i="1"/>
  <c r="F87" i="1"/>
  <c r="D87" i="1"/>
  <c r="B87" i="1"/>
  <c r="U80" i="1"/>
  <c r="S80" i="1"/>
  <c r="Q80" i="1"/>
  <c r="F80" i="1"/>
  <c r="D80" i="1"/>
  <c r="B80" i="1"/>
  <c r="U73" i="1"/>
  <c r="S73" i="1"/>
  <c r="Q73" i="1"/>
  <c r="F73" i="1"/>
  <c r="D73" i="1"/>
  <c r="B73" i="1"/>
  <c r="U66" i="1"/>
  <c r="S66" i="1"/>
  <c r="Q66" i="1"/>
  <c r="F66" i="1"/>
  <c r="D66" i="1"/>
  <c r="B66" i="1"/>
  <c r="U59" i="1"/>
  <c r="S59" i="1"/>
  <c r="Q59" i="1"/>
  <c r="F59" i="1"/>
  <c r="D59" i="1"/>
  <c r="B59" i="1"/>
  <c r="U52" i="1"/>
  <c r="S52" i="1"/>
  <c r="Q52" i="1"/>
  <c r="F52" i="1"/>
  <c r="D52" i="1"/>
  <c r="B52" i="1"/>
  <c r="U44" i="1"/>
  <c r="S44" i="1"/>
  <c r="Q44" i="1"/>
  <c r="F44" i="1"/>
  <c r="D44" i="1"/>
  <c r="B44" i="1"/>
  <c r="U37" i="1"/>
  <c r="Q37" i="1"/>
  <c r="F37" i="1"/>
  <c r="D37" i="1"/>
  <c r="B37" i="1"/>
  <c r="U30" i="1"/>
  <c r="S30" i="1"/>
  <c r="Q30" i="1"/>
  <c r="F30" i="1"/>
  <c r="D30" i="1"/>
  <c r="B30" i="1"/>
  <c r="U23" i="1"/>
  <c r="S23" i="1"/>
  <c r="Q23" i="1"/>
  <c r="F23" i="1"/>
  <c r="D23" i="1"/>
  <c r="B23" i="1"/>
  <c r="U16" i="1"/>
  <c r="S16" i="1"/>
  <c r="Q16" i="1"/>
  <c r="F16" i="1"/>
  <c r="D16" i="1"/>
  <c r="B16" i="1"/>
  <c r="B17" i="1"/>
  <c r="D17" i="1"/>
  <c r="F17" i="1"/>
  <c r="Q17" i="1"/>
  <c r="S17" i="1"/>
  <c r="U17" i="1"/>
  <c r="B24" i="1"/>
  <c r="D24" i="1"/>
  <c r="F24" i="1"/>
  <c r="Q24" i="1"/>
  <c r="S24" i="1"/>
  <c r="U24" i="1"/>
  <c r="B31" i="1"/>
  <c r="D31" i="1"/>
  <c r="F31" i="1"/>
  <c r="Q31" i="1"/>
  <c r="S31" i="1"/>
  <c r="U31" i="1"/>
  <c r="B38" i="1"/>
  <c r="D38" i="1"/>
  <c r="F38" i="1"/>
  <c r="Q38" i="1"/>
  <c r="S38" i="1"/>
  <c r="U38" i="1"/>
  <c r="B46" i="1"/>
  <c r="D46" i="1"/>
  <c r="F46" i="1"/>
  <c r="Q46" i="1"/>
  <c r="S46" i="1"/>
  <c r="U46" i="1"/>
  <c r="B53" i="1"/>
  <c r="D53" i="1"/>
  <c r="F53" i="1"/>
  <c r="Q53" i="1"/>
  <c r="S53" i="1"/>
  <c r="U53" i="1"/>
  <c r="B60" i="1"/>
  <c r="D60" i="1"/>
  <c r="F60" i="1"/>
  <c r="Q60" i="1"/>
  <c r="S60" i="1"/>
  <c r="U60" i="1"/>
  <c r="B67" i="1"/>
  <c r="D67" i="1"/>
  <c r="F67" i="1"/>
  <c r="Q67" i="1"/>
  <c r="S67" i="1"/>
  <c r="U67" i="1"/>
  <c r="B74" i="1"/>
  <c r="D74" i="1"/>
  <c r="F74" i="1"/>
  <c r="Q74" i="1"/>
  <c r="S74" i="1"/>
  <c r="U74" i="1"/>
  <c r="B81" i="1"/>
  <c r="D81" i="1"/>
  <c r="F81" i="1"/>
  <c r="Q81" i="1"/>
  <c r="S81" i="1"/>
  <c r="U81" i="1"/>
  <c r="B89" i="1"/>
  <c r="D89" i="1"/>
  <c r="F89" i="1"/>
  <c r="Q89" i="1"/>
  <c r="S89" i="1"/>
  <c r="U89" i="1"/>
  <c r="B96" i="1"/>
  <c r="D96" i="1"/>
  <c r="F96" i="1"/>
  <c r="B103" i="1"/>
  <c r="D103" i="1"/>
  <c r="F103" i="1"/>
  <c r="Q103" i="1"/>
  <c r="S103" i="1"/>
  <c r="U103" i="1"/>
  <c r="B111" i="1"/>
  <c r="D111" i="1"/>
  <c r="F111" i="1"/>
  <c r="Q111" i="1"/>
  <c r="S111" i="1"/>
  <c r="U111" i="1"/>
  <c r="B118" i="1"/>
  <c r="D118" i="1"/>
  <c r="F118" i="1"/>
  <c r="Q118" i="1"/>
  <c r="S118" i="1"/>
  <c r="U118" i="1"/>
  <c r="B125" i="1"/>
  <c r="D125" i="1"/>
  <c r="F125" i="1"/>
  <c r="Q125" i="1"/>
  <c r="S125" i="1"/>
  <c r="U125" i="1"/>
  <c r="F11" i="7"/>
  <c r="F17" i="7"/>
  <c r="F23" i="7"/>
  <c r="F29" i="7"/>
  <c r="F35" i="7"/>
  <c r="F41" i="7"/>
  <c r="F47" i="7"/>
  <c r="F53" i="7"/>
  <c r="F59" i="7"/>
  <c r="F65" i="7"/>
  <c r="F71" i="7"/>
  <c r="F77" i="7"/>
  <c r="F83" i="7"/>
  <c r="F89" i="7"/>
  <c r="F95" i="7"/>
  <c r="F101" i="7"/>
  <c r="F107" i="7"/>
  <c r="F113" i="7"/>
  <c r="F119" i="7"/>
  <c r="F125" i="7"/>
  <c r="F131" i="7"/>
  <c r="F137" i="7"/>
  <c r="F143" i="7"/>
  <c r="F149" i="7"/>
  <c r="F155" i="7"/>
  <c r="F161" i="7"/>
  <c r="F167" i="7"/>
  <c r="F173" i="7"/>
  <c r="F179" i="7"/>
  <c r="F185" i="7"/>
  <c r="F191" i="7"/>
  <c r="F197" i="7"/>
  <c r="F203" i="7"/>
  <c r="F209" i="7"/>
  <c r="F215" i="7"/>
  <c r="F221" i="7"/>
  <c r="F227" i="7"/>
  <c r="F233" i="7"/>
  <c r="F239" i="7"/>
  <c r="F245" i="7"/>
  <c r="F251" i="7"/>
  <c r="F257" i="7"/>
  <c r="F263" i="7"/>
  <c r="F269" i="7"/>
  <c r="F275" i="7"/>
  <c r="F281" i="7"/>
  <c r="F287" i="7"/>
  <c r="F293" i="7"/>
  <c r="F299" i="7"/>
  <c r="F305" i="7"/>
  <c r="F311" i="7"/>
  <c r="F317" i="7"/>
  <c r="F323" i="7"/>
  <c r="F329" i="7"/>
  <c r="F335" i="7"/>
  <c r="F341" i="7"/>
  <c r="F347" i="7"/>
  <c r="F353" i="7"/>
  <c r="F359" i="7"/>
  <c r="F365" i="7"/>
  <c r="F371" i="7"/>
  <c r="F377" i="7"/>
  <c r="F383" i="7"/>
  <c r="F389" i="7"/>
  <c r="F395" i="7"/>
  <c r="F401" i="7"/>
  <c r="F407" i="7"/>
  <c r="F413" i="7"/>
  <c r="F419" i="7"/>
  <c r="F425" i="7"/>
  <c r="F431" i="7"/>
  <c r="F437" i="7"/>
  <c r="F443" i="7"/>
  <c r="F449" i="7"/>
  <c r="F455" i="7"/>
  <c r="F461" i="7"/>
  <c r="F467" i="7"/>
  <c r="F473" i="7"/>
  <c r="F479" i="7"/>
  <c r="F485" i="7"/>
  <c r="F491" i="7"/>
  <c r="F497" i="7"/>
  <c r="F503" i="7"/>
  <c r="F509" i="7"/>
  <c r="F515" i="7"/>
  <c r="F521" i="7"/>
  <c r="F527" i="7"/>
  <c r="F533" i="7"/>
  <c r="F539" i="7"/>
  <c r="F545" i="7"/>
  <c r="F551" i="7"/>
  <c r="F557" i="7"/>
  <c r="F563" i="7"/>
  <c r="F569" i="7"/>
  <c r="F575" i="7"/>
  <c r="F581" i="7"/>
  <c r="F587" i="7"/>
  <c r="F593" i="7"/>
  <c r="F599" i="7"/>
  <c r="F5" i="7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7" i="2"/>
  <c r="L37" i="2"/>
  <c r="M37" i="2"/>
  <c r="K42" i="2"/>
  <c r="L42" i="2"/>
  <c r="M42" i="2"/>
  <c r="K43" i="2"/>
  <c r="L43" i="2"/>
  <c r="M43" i="2"/>
  <c r="K44" i="2"/>
  <c r="L44" i="2"/>
  <c r="M44" i="2"/>
  <c r="K46" i="2"/>
  <c r="L46" i="2"/>
  <c r="M46" i="2"/>
  <c r="K47" i="2"/>
  <c r="L47" i="2"/>
  <c r="M47" i="2"/>
  <c r="K56" i="2"/>
  <c r="L56" i="2"/>
  <c r="M56" i="2"/>
  <c r="K57" i="2"/>
  <c r="L57" i="2"/>
  <c r="M57" i="2"/>
  <c r="K58" i="2"/>
  <c r="L58" i="2"/>
  <c r="M58" i="2"/>
  <c r="K59" i="2"/>
  <c r="K70" i="2"/>
  <c r="L70" i="2"/>
  <c r="M70" i="2"/>
  <c r="K71" i="2"/>
  <c r="L71" i="2"/>
  <c r="M71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7" i="2"/>
  <c r="L87" i="2"/>
  <c r="M87" i="2"/>
  <c r="K88" i="2"/>
  <c r="L88" i="2"/>
  <c r="M88" i="2"/>
  <c r="K89" i="2"/>
  <c r="L89" i="2"/>
  <c r="M89" i="2"/>
  <c r="K95" i="2"/>
  <c r="L95" i="2"/>
  <c r="M95" i="2"/>
  <c r="K96" i="2"/>
  <c r="L96" i="2"/>
  <c r="M96" i="2"/>
  <c r="K97" i="2"/>
  <c r="L97" i="2"/>
  <c r="M97" i="2"/>
  <c r="G156" i="1" l="1"/>
  <c r="G157" i="1" s="1"/>
  <c r="V135" i="1"/>
  <c r="V139" i="1" s="1"/>
  <c r="V142" i="1"/>
  <c r="V143" i="1" s="1"/>
  <c r="G128" i="1"/>
  <c r="G132" i="1" s="1"/>
  <c r="V92" i="1"/>
  <c r="V93" i="1" s="1"/>
  <c r="G149" i="1"/>
  <c r="G153" i="1" s="1"/>
  <c r="G135" i="1"/>
  <c r="G139" i="1" s="1"/>
  <c r="V128" i="1"/>
  <c r="V132" i="1" s="1"/>
  <c r="V149" i="1"/>
  <c r="V153" i="1" s="1"/>
  <c r="G142" i="1"/>
  <c r="G146" i="1" s="1"/>
  <c r="V156" i="1"/>
  <c r="V157" i="1" s="1"/>
  <c r="M59" i="2"/>
  <c r="L59" i="2"/>
  <c r="V146" i="1" l="1"/>
  <c r="V150" i="1"/>
  <c r="G129" i="1"/>
  <c r="G136" i="1"/>
  <c r="V136" i="1"/>
  <c r="G160" i="1"/>
  <c r="G150" i="1"/>
  <c r="V129" i="1"/>
  <c r="V96" i="1"/>
  <c r="G143" i="1"/>
  <c r="V160" i="1"/>
  <c r="B13" i="1"/>
  <c r="D13" i="1"/>
  <c r="F13" i="1"/>
  <c r="Q13" i="1"/>
  <c r="S13" i="1"/>
  <c r="U13" i="1"/>
  <c r="B14" i="1"/>
  <c r="D14" i="1"/>
  <c r="F14" i="1"/>
  <c r="Q14" i="1"/>
  <c r="S14" i="1"/>
  <c r="U14" i="1"/>
  <c r="B15" i="1"/>
  <c r="D15" i="1"/>
  <c r="F15" i="1"/>
  <c r="Q15" i="1"/>
  <c r="S15" i="1"/>
  <c r="U15" i="1"/>
  <c r="B18" i="1"/>
  <c r="D18" i="1"/>
  <c r="F18" i="1"/>
  <c r="Q18" i="1"/>
  <c r="S18" i="1"/>
  <c r="U18" i="1"/>
  <c r="B20" i="1"/>
  <c r="D20" i="1"/>
  <c r="F20" i="1"/>
  <c r="Q20" i="1"/>
  <c r="S20" i="1"/>
  <c r="U20" i="1"/>
  <c r="B21" i="1"/>
  <c r="D21" i="1"/>
  <c r="F21" i="1"/>
  <c r="Q21" i="1"/>
  <c r="S21" i="1"/>
  <c r="U21" i="1"/>
  <c r="B22" i="1"/>
  <c r="D22" i="1"/>
  <c r="F22" i="1"/>
  <c r="Q22" i="1"/>
  <c r="S22" i="1"/>
  <c r="U22" i="1"/>
  <c r="B25" i="1"/>
  <c r="D25" i="1"/>
  <c r="F25" i="1"/>
  <c r="Q25" i="1"/>
  <c r="S25" i="1"/>
  <c r="U25" i="1"/>
  <c r="B27" i="1"/>
  <c r="D27" i="1"/>
  <c r="F27" i="1"/>
  <c r="Q27" i="1"/>
  <c r="S27" i="1"/>
  <c r="U27" i="1"/>
  <c r="B28" i="1"/>
  <c r="D28" i="1"/>
  <c r="F28" i="1"/>
  <c r="Q28" i="1"/>
  <c r="S28" i="1"/>
  <c r="U28" i="1"/>
  <c r="B29" i="1"/>
  <c r="D29" i="1"/>
  <c r="F29" i="1"/>
  <c r="Q29" i="1"/>
  <c r="S29" i="1"/>
  <c r="U29" i="1"/>
  <c r="B32" i="1"/>
  <c r="D32" i="1"/>
  <c r="F32" i="1"/>
  <c r="Q32" i="1"/>
  <c r="S32" i="1"/>
  <c r="U32" i="1"/>
  <c r="B34" i="1"/>
  <c r="D34" i="1"/>
  <c r="F34" i="1"/>
  <c r="Q34" i="1"/>
  <c r="S34" i="1"/>
  <c r="U34" i="1"/>
  <c r="B35" i="1"/>
  <c r="D35" i="1"/>
  <c r="F35" i="1"/>
  <c r="Q35" i="1"/>
  <c r="S35" i="1"/>
  <c r="U35" i="1"/>
  <c r="B36" i="1"/>
  <c r="D36" i="1"/>
  <c r="F36" i="1"/>
  <c r="Q36" i="1"/>
  <c r="S36" i="1"/>
  <c r="U36" i="1"/>
  <c r="B39" i="1"/>
  <c r="D39" i="1"/>
  <c r="F39" i="1"/>
  <c r="Q39" i="1"/>
  <c r="S39" i="1"/>
  <c r="U39" i="1"/>
  <c r="B41" i="1"/>
  <c r="D41" i="1"/>
  <c r="F41" i="1"/>
  <c r="Q41" i="1"/>
  <c r="S41" i="1"/>
  <c r="U41" i="1"/>
  <c r="B42" i="1"/>
  <c r="D42" i="1"/>
  <c r="F42" i="1"/>
  <c r="Q42" i="1"/>
  <c r="S42" i="1"/>
  <c r="U42" i="1"/>
  <c r="B43" i="1"/>
  <c r="D43" i="1"/>
  <c r="F43" i="1"/>
  <c r="Q43" i="1"/>
  <c r="S43" i="1"/>
  <c r="U43" i="1"/>
  <c r="B47" i="1"/>
  <c r="D47" i="1"/>
  <c r="F47" i="1"/>
  <c r="Q47" i="1"/>
  <c r="S47" i="1"/>
  <c r="U47" i="1"/>
  <c r="B49" i="1"/>
  <c r="D49" i="1"/>
  <c r="F49" i="1"/>
  <c r="Q49" i="1"/>
  <c r="S49" i="1"/>
  <c r="U49" i="1"/>
  <c r="B50" i="1"/>
  <c r="D50" i="1"/>
  <c r="F50" i="1"/>
  <c r="Q50" i="1"/>
  <c r="S50" i="1"/>
  <c r="U50" i="1"/>
  <c r="B51" i="1"/>
  <c r="D51" i="1"/>
  <c r="F51" i="1"/>
  <c r="Q51" i="1"/>
  <c r="S51" i="1"/>
  <c r="U51" i="1"/>
  <c r="B54" i="1"/>
  <c r="D54" i="1"/>
  <c r="F54" i="1"/>
  <c r="Q54" i="1"/>
  <c r="S54" i="1"/>
  <c r="U54" i="1"/>
  <c r="B56" i="1"/>
  <c r="D56" i="1"/>
  <c r="F56" i="1"/>
  <c r="Q56" i="1"/>
  <c r="S56" i="1"/>
  <c r="U56" i="1"/>
  <c r="B57" i="1"/>
  <c r="D57" i="1"/>
  <c r="F57" i="1"/>
  <c r="Q57" i="1"/>
  <c r="S57" i="1"/>
  <c r="U57" i="1"/>
  <c r="B58" i="1"/>
  <c r="D58" i="1"/>
  <c r="F58" i="1"/>
  <c r="Q58" i="1"/>
  <c r="S58" i="1"/>
  <c r="U58" i="1"/>
  <c r="B61" i="1"/>
  <c r="D61" i="1"/>
  <c r="F61" i="1"/>
  <c r="Q61" i="1"/>
  <c r="S61" i="1"/>
  <c r="U61" i="1"/>
  <c r="B63" i="1"/>
  <c r="D63" i="1"/>
  <c r="F63" i="1"/>
  <c r="Q63" i="1"/>
  <c r="S63" i="1"/>
  <c r="U63" i="1"/>
  <c r="B64" i="1"/>
  <c r="D64" i="1"/>
  <c r="F64" i="1"/>
  <c r="Q64" i="1"/>
  <c r="S64" i="1"/>
  <c r="U64" i="1"/>
  <c r="B65" i="1"/>
  <c r="D65" i="1"/>
  <c r="F65" i="1"/>
  <c r="Q65" i="1"/>
  <c r="S65" i="1"/>
  <c r="U65" i="1"/>
  <c r="B68" i="1"/>
  <c r="D68" i="1"/>
  <c r="F68" i="1"/>
  <c r="Q68" i="1"/>
  <c r="S68" i="1"/>
  <c r="U68" i="1"/>
  <c r="B70" i="1"/>
  <c r="D70" i="1"/>
  <c r="F70" i="1"/>
  <c r="Q70" i="1"/>
  <c r="S70" i="1"/>
  <c r="U70" i="1"/>
  <c r="B71" i="1"/>
  <c r="D71" i="1"/>
  <c r="F71" i="1"/>
  <c r="Q71" i="1"/>
  <c r="S71" i="1"/>
  <c r="U71" i="1"/>
  <c r="B72" i="1"/>
  <c r="D72" i="1"/>
  <c r="F72" i="1"/>
  <c r="Q72" i="1"/>
  <c r="S72" i="1"/>
  <c r="U72" i="1"/>
  <c r="B75" i="1"/>
  <c r="D75" i="1"/>
  <c r="F75" i="1"/>
  <c r="Q75" i="1"/>
  <c r="S75" i="1"/>
  <c r="U75" i="1"/>
  <c r="B77" i="1"/>
  <c r="D77" i="1"/>
  <c r="F77" i="1"/>
  <c r="Q77" i="1"/>
  <c r="S77" i="1"/>
  <c r="U77" i="1"/>
  <c r="B78" i="1"/>
  <c r="D78" i="1"/>
  <c r="F78" i="1"/>
  <c r="Q78" i="1"/>
  <c r="S78" i="1"/>
  <c r="U78" i="1"/>
  <c r="B79" i="1"/>
  <c r="D79" i="1"/>
  <c r="F79" i="1"/>
  <c r="Q79" i="1"/>
  <c r="S79" i="1"/>
  <c r="U79" i="1"/>
  <c r="B82" i="1"/>
  <c r="D82" i="1"/>
  <c r="F82" i="1"/>
  <c r="Q82" i="1"/>
  <c r="S82" i="1"/>
  <c r="U82" i="1"/>
  <c r="B84" i="1"/>
  <c r="D84" i="1"/>
  <c r="F84" i="1"/>
  <c r="Q84" i="1"/>
  <c r="S84" i="1"/>
  <c r="U84" i="1"/>
  <c r="B85" i="1"/>
  <c r="D85" i="1"/>
  <c r="F85" i="1"/>
  <c r="Q85" i="1"/>
  <c r="S85" i="1"/>
  <c r="U85" i="1"/>
  <c r="B86" i="1"/>
  <c r="D86" i="1"/>
  <c r="F86" i="1"/>
  <c r="Q86" i="1"/>
  <c r="S86" i="1"/>
  <c r="U86" i="1"/>
  <c r="B90" i="1"/>
  <c r="D90" i="1"/>
  <c r="F90" i="1"/>
  <c r="Q90" i="1"/>
  <c r="S90" i="1"/>
  <c r="U90" i="1"/>
  <c r="B92" i="1"/>
  <c r="D92" i="1"/>
  <c r="F92" i="1"/>
  <c r="B93" i="1"/>
  <c r="D93" i="1"/>
  <c r="F93" i="1"/>
  <c r="B94" i="1"/>
  <c r="D94" i="1"/>
  <c r="F94" i="1"/>
  <c r="B97" i="1"/>
  <c r="D97" i="1"/>
  <c r="F97" i="1"/>
  <c r="B99" i="1"/>
  <c r="D99" i="1"/>
  <c r="F99" i="1"/>
  <c r="Q99" i="1"/>
  <c r="S99" i="1"/>
  <c r="U99" i="1"/>
  <c r="B100" i="1"/>
  <c r="D100" i="1"/>
  <c r="F100" i="1"/>
  <c r="Q100" i="1"/>
  <c r="S100" i="1"/>
  <c r="U100" i="1"/>
  <c r="B101" i="1"/>
  <c r="D101" i="1"/>
  <c r="F101" i="1"/>
  <c r="Q101" i="1"/>
  <c r="S101" i="1"/>
  <c r="U101" i="1"/>
  <c r="B104" i="1"/>
  <c r="D104" i="1"/>
  <c r="F104" i="1"/>
  <c r="Q104" i="1"/>
  <c r="S104" i="1"/>
  <c r="U104" i="1"/>
  <c r="B106" i="1"/>
  <c r="D106" i="1"/>
  <c r="F106" i="1"/>
  <c r="Q106" i="1"/>
  <c r="S106" i="1"/>
  <c r="U106" i="1"/>
  <c r="B107" i="1"/>
  <c r="D107" i="1"/>
  <c r="F107" i="1"/>
  <c r="Q107" i="1"/>
  <c r="S107" i="1"/>
  <c r="U107" i="1"/>
  <c r="B108" i="1"/>
  <c r="D108" i="1"/>
  <c r="F108" i="1"/>
  <c r="Q108" i="1"/>
  <c r="S108" i="1"/>
  <c r="U108" i="1"/>
  <c r="B112" i="1"/>
  <c r="D112" i="1"/>
  <c r="F112" i="1"/>
  <c r="Q112" i="1"/>
  <c r="S112" i="1"/>
  <c r="U112" i="1"/>
  <c r="B114" i="1"/>
  <c r="D114" i="1"/>
  <c r="F114" i="1"/>
  <c r="Q114" i="1"/>
  <c r="S114" i="1"/>
  <c r="U114" i="1"/>
  <c r="B115" i="1"/>
  <c r="D115" i="1"/>
  <c r="F115" i="1"/>
  <c r="Q115" i="1"/>
  <c r="S115" i="1"/>
  <c r="U115" i="1"/>
  <c r="B116" i="1"/>
  <c r="D116" i="1"/>
  <c r="F116" i="1"/>
  <c r="Q116" i="1"/>
  <c r="S116" i="1"/>
  <c r="U116" i="1"/>
  <c r="B119" i="1"/>
  <c r="D119" i="1"/>
  <c r="F119" i="1"/>
  <c r="Q119" i="1"/>
  <c r="S119" i="1"/>
  <c r="U119" i="1"/>
  <c r="B121" i="1"/>
  <c r="D121" i="1"/>
  <c r="F121" i="1"/>
  <c r="Q121" i="1"/>
  <c r="S121" i="1"/>
  <c r="U121" i="1"/>
  <c r="B122" i="1"/>
  <c r="D122" i="1"/>
  <c r="F122" i="1"/>
  <c r="Q122" i="1"/>
  <c r="S122" i="1"/>
  <c r="U122" i="1"/>
  <c r="B123" i="1"/>
  <c r="D123" i="1"/>
  <c r="F123" i="1"/>
  <c r="Q123" i="1"/>
  <c r="S123" i="1"/>
  <c r="U123" i="1"/>
  <c r="B126" i="1"/>
  <c r="D126" i="1"/>
  <c r="F126" i="1"/>
  <c r="Q126" i="1"/>
  <c r="S126" i="1"/>
  <c r="U126" i="1"/>
  <c r="L135" i="2" l="1"/>
  <c r="L139" i="2"/>
  <c r="V121" i="1"/>
  <c r="G121" i="1"/>
  <c r="G125" i="1" s="1"/>
  <c r="V27" i="1"/>
  <c r="V63" i="1"/>
  <c r="V34" i="1"/>
  <c r="V38" i="1" s="1"/>
  <c r="G63" i="1"/>
  <c r="G67" i="1" s="1"/>
  <c r="V114" i="1"/>
  <c r="V118" i="1" s="1"/>
  <c r="G70" i="1"/>
  <c r="V84" i="1"/>
  <c r="V89" i="1" s="1"/>
  <c r="G114" i="1"/>
  <c r="G118" i="1" s="1"/>
  <c r="G13" i="1"/>
  <c r="V99" i="1"/>
  <c r="V103" i="1" s="1"/>
  <c r="G77" i="1"/>
  <c r="G81" i="1" s="1"/>
  <c r="V41" i="1"/>
  <c r="V46" i="1" s="1"/>
  <c r="G20" i="1"/>
  <c r="G24" i="1" s="1"/>
  <c r="V106" i="1"/>
  <c r="V111" i="1" s="1"/>
  <c r="G84" i="1"/>
  <c r="G89" i="1" s="1"/>
  <c r="V49" i="1"/>
  <c r="V53" i="1" s="1"/>
  <c r="G27" i="1"/>
  <c r="G31" i="1" s="1"/>
  <c r="G92" i="1"/>
  <c r="G96" i="1" s="1"/>
  <c r="V56" i="1"/>
  <c r="V60" i="1" s="1"/>
  <c r="G34" i="1"/>
  <c r="G38" i="1" s="1"/>
  <c r="G99" i="1"/>
  <c r="G103" i="1" s="1"/>
  <c r="G41" i="1"/>
  <c r="G46" i="1" s="1"/>
  <c r="G106" i="1"/>
  <c r="G111" i="1" s="1"/>
  <c r="V70" i="1"/>
  <c r="V74" i="1" s="1"/>
  <c r="G49" i="1"/>
  <c r="G53" i="1" s="1"/>
  <c r="V13" i="1"/>
  <c r="V17" i="1" s="1"/>
  <c r="V77" i="1"/>
  <c r="V81" i="1" s="1"/>
  <c r="G56" i="1"/>
  <c r="G60" i="1" s="1"/>
  <c r="V20" i="1"/>
  <c r="V24" i="1" s="1"/>
  <c r="B101" i="8"/>
  <c r="C101" i="8"/>
  <c r="B102" i="8"/>
  <c r="C102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85" i="8"/>
  <c r="C85" i="8"/>
  <c r="B86" i="8"/>
  <c r="C86" i="8"/>
  <c r="B87" i="8"/>
  <c r="C87" i="8"/>
  <c r="B88" i="8"/>
  <c r="C88" i="8"/>
  <c r="B89" i="8"/>
  <c r="C89" i="8"/>
  <c r="B90" i="8"/>
  <c r="C90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C3" i="8"/>
  <c r="B3" i="8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F515" i="5"/>
  <c r="L10" i="7"/>
  <c r="N92" i="2" l="1"/>
  <c r="N94" i="2"/>
  <c r="N38" i="2"/>
  <c r="N36" i="2"/>
  <c r="N52" i="2"/>
  <c r="N63" i="2"/>
  <c r="N98" i="2"/>
  <c r="N45" i="2"/>
  <c r="N65" i="2"/>
  <c r="N93" i="2"/>
  <c r="N91" i="2"/>
  <c r="N64" i="2"/>
  <c r="N60" i="2"/>
  <c r="N62" i="2"/>
  <c r="N61" i="2"/>
  <c r="N33" i="2"/>
  <c r="N50" i="2"/>
  <c r="N48" i="2"/>
  <c r="N51" i="2"/>
  <c r="N49" i="2"/>
  <c r="V64" i="1"/>
  <c r="V67" i="1"/>
  <c r="G14" i="1"/>
  <c r="G17" i="1"/>
  <c r="V28" i="1"/>
  <c r="V31" i="1"/>
  <c r="G71" i="1"/>
  <c r="G74" i="1"/>
  <c r="V122" i="1"/>
  <c r="V125" i="1"/>
  <c r="L141" i="2"/>
  <c r="M141" i="2" s="1"/>
  <c r="M139" i="2"/>
  <c r="L140" i="2"/>
  <c r="M140" i="2" s="1"/>
  <c r="N67" i="2"/>
  <c r="N70" i="2"/>
  <c r="N73" i="2"/>
  <c r="N75" i="2"/>
  <c r="N77" i="2"/>
  <c r="N79" i="2"/>
  <c r="N82" i="2"/>
  <c r="N88" i="2"/>
  <c r="N97" i="2"/>
  <c r="N39" i="2"/>
  <c r="N43" i="2"/>
  <c r="N46" i="2"/>
  <c r="N53" i="2"/>
  <c r="N57" i="2"/>
  <c r="N30" i="2"/>
  <c r="N32" i="2"/>
  <c r="N34" i="2"/>
  <c r="N37" i="2"/>
  <c r="N66" i="2"/>
  <c r="N71" i="2"/>
  <c r="N74" i="2"/>
  <c r="N76" i="2"/>
  <c r="N78" i="2"/>
  <c r="N80" i="2"/>
  <c r="N81" i="2"/>
  <c r="N87" i="2"/>
  <c r="N89" i="2"/>
  <c r="N90" i="2"/>
  <c r="N95" i="2"/>
  <c r="N96" i="2"/>
  <c r="N40" i="2"/>
  <c r="N42" i="2"/>
  <c r="N44" i="2"/>
  <c r="N47" i="2"/>
  <c r="N54" i="2"/>
  <c r="N56" i="2"/>
  <c r="N58" i="2"/>
  <c r="N29" i="2"/>
  <c r="N31" i="2"/>
  <c r="N35" i="2"/>
  <c r="N59" i="2"/>
  <c r="G122" i="1"/>
  <c r="V35" i="1"/>
  <c r="V115" i="1"/>
  <c r="G115" i="1"/>
  <c r="V85" i="1"/>
  <c r="G64" i="1"/>
  <c r="G57" i="1"/>
  <c r="G35" i="1"/>
  <c r="V57" i="1"/>
  <c r="G85" i="1"/>
  <c r="V14" i="1"/>
  <c r="G93" i="1"/>
  <c r="V107" i="1"/>
  <c r="G21" i="1"/>
  <c r="G50" i="1"/>
  <c r="V42" i="1"/>
  <c r="G28" i="1"/>
  <c r="G100" i="1"/>
  <c r="V50" i="1"/>
  <c r="V71" i="1"/>
  <c r="G78" i="1"/>
  <c r="V78" i="1"/>
  <c r="V21" i="1"/>
  <c r="G107" i="1"/>
  <c r="G42" i="1"/>
  <c r="V100" i="1"/>
  <c r="M47" i="7"/>
  <c r="N47" i="7" s="1"/>
  <c r="O47" i="7" s="1"/>
  <c r="M119" i="7"/>
  <c r="N119" i="7" s="1"/>
  <c r="O119" i="7" s="1"/>
  <c r="M167" i="7"/>
  <c r="N167" i="7" s="1"/>
  <c r="O167" i="7" s="1"/>
  <c r="M287" i="7"/>
  <c r="N287" i="7" s="1"/>
  <c r="O287" i="7" s="1"/>
  <c r="M311" i="7"/>
  <c r="N311" i="7" s="1"/>
  <c r="O311" i="7" s="1"/>
  <c r="M383" i="7"/>
  <c r="N383" i="7" s="1"/>
  <c r="O383" i="7" s="1"/>
  <c r="M599" i="7"/>
  <c r="N599" i="7" s="1"/>
  <c r="O599" i="7" s="1"/>
  <c r="M89" i="7"/>
  <c r="N89" i="7" s="1"/>
  <c r="O89" i="7" s="1"/>
  <c r="M113" i="7"/>
  <c r="N113" i="7" s="1"/>
  <c r="O113" i="7" s="1"/>
  <c r="M137" i="7"/>
  <c r="N137" i="7" s="1"/>
  <c r="O137" i="7" s="1"/>
  <c r="M161" i="7"/>
  <c r="N161" i="7" s="1"/>
  <c r="O161" i="7" s="1"/>
  <c r="M257" i="7"/>
  <c r="N257" i="7" s="1"/>
  <c r="O257" i="7" s="1"/>
  <c r="M281" i="7"/>
  <c r="N281" i="7" s="1"/>
  <c r="O281" i="7" s="1"/>
  <c r="M305" i="7"/>
  <c r="N305" i="7" s="1"/>
  <c r="O305" i="7" s="1"/>
  <c r="M329" i="7"/>
  <c r="N329" i="7" s="1"/>
  <c r="O329" i="7" s="1"/>
  <c r="M353" i="7"/>
  <c r="N353" i="7" s="1"/>
  <c r="O353" i="7" s="1"/>
  <c r="M377" i="7"/>
  <c r="N377" i="7" s="1"/>
  <c r="O377" i="7" s="1"/>
  <c r="M95" i="7"/>
  <c r="N95" i="7" s="1"/>
  <c r="O95" i="7" s="1"/>
  <c r="M191" i="7"/>
  <c r="N191" i="7" s="1"/>
  <c r="O191" i="7" s="1"/>
  <c r="M239" i="7"/>
  <c r="N239" i="7" s="1"/>
  <c r="O239" i="7" s="1"/>
  <c r="M359" i="7"/>
  <c r="N359" i="7" s="1"/>
  <c r="O359" i="7" s="1"/>
  <c r="M407" i="7"/>
  <c r="N407" i="7" s="1"/>
  <c r="O407" i="7" s="1"/>
  <c r="M455" i="7"/>
  <c r="N455" i="7" s="1"/>
  <c r="O455" i="7" s="1"/>
  <c r="M527" i="7"/>
  <c r="N527" i="7" s="1"/>
  <c r="O527" i="7" s="1"/>
  <c r="M41" i="7"/>
  <c r="N41" i="7" s="1"/>
  <c r="O41" i="7" s="1"/>
  <c r="M65" i="7"/>
  <c r="N65" i="7" s="1"/>
  <c r="O65" i="7" s="1"/>
  <c r="M185" i="7"/>
  <c r="N185" i="7" s="1"/>
  <c r="O185" i="7" s="1"/>
  <c r="M209" i="7"/>
  <c r="N209" i="7" s="1"/>
  <c r="O209" i="7" s="1"/>
  <c r="M233" i="7"/>
  <c r="N233" i="7" s="1"/>
  <c r="O233" i="7" s="1"/>
  <c r="M23" i="7"/>
  <c r="N23" i="7" s="1"/>
  <c r="O23" i="7" s="1"/>
  <c r="M71" i="7"/>
  <c r="N71" i="7" s="1"/>
  <c r="O71" i="7" s="1"/>
  <c r="M143" i="7"/>
  <c r="N143" i="7" s="1"/>
  <c r="O143" i="7" s="1"/>
  <c r="M215" i="7"/>
  <c r="N215" i="7" s="1"/>
  <c r="O215" i="7" s="1"/>
  <c r="M263" i="7"/>
  <c r="N263" i="7" s="1"/>
  <c r="O263" i="7" s="1"/>
  <c r="M335" i="7"/>
  <c r="N335" i="7" s="1"/>
  <c r="O335" i="7" s="1"/>
  <c r="M431" i="7"/>
  <c r="N431" i="7" s="1"/>
  <c r="O431" i="7" s="1"/>
  <c r="M479" i="7"/>
  <c r="N479" i="7" s="1"/>
  <c r="O479" i="7" s="1"/>
  <c r="M503" i="7"/>
  <c r="N503" i="7" s="1"/>
  <c r="O503" i="7" s="1"/>
  <c r="M551" i="7"/>
  <c r="N551" i="7" s="1"/>
  <c r="O551" i="7" s="1"/>
  <c r="M575" i="7"/>
  <c r="N575" i="7" s="1"/>
  <c r="O575" i="7" s="1"/>
  <c r="M401" i="7"/>
  <c r="N401" i="7" s="1"/>
  <c r="O401" i="7" s="1"/>
  <c r="M425" i="7"/>
  <c r="N425" i="7" s="1"/>
  <c r="O425" i="7" s="1"/>
  <c r="M449" i="7"/>
  <c r="N449" i="7" s="1"/>
  <c r="O449" i="7" s="1"/>
  <c r="M497" i="7"/>
  <c r="N497" i="7" s="1"/>
  <c r="O497" i="7" s="1"/>
  <c r="M521" i="7"/>
  <c r="N521" i="7" s="1"/>
  <c r="O521" i="7" s="1"/>
  <c r="M545" i="7"/>
  <c r="N545" i="7" s="1"/>
  <c r="O545" i="7" s="1"/>
  <c r="M569" i="7"/>
  <c r="N569" i="7" s="1"/>
  <c r="O569" i="7" s="1"/>
  <c r="M473" i="7"/>
  <c r="N473" i="7" s="1"/>
  <c r="O473" i="7" s="1"/>
  <c r="M593" i="7"/>
  <c r="N593" i="7" s="1"/>
  <c r="O593" i="7" s="1"/>
  <c r="M35" i="7"/>
  <c r="N35" i="7" s="1"/>
  <c r="O35" i="7" s="1"/>
  <c r="M59" i="7"/>
  <c r="N59" i="7" s="1"/>
  <c r="O59" i="7" s="1"/>
  <c r="M83" i="7"/>
  <c r="N83" i="7" s="1"/>
  <c r="O83" i="7" s="1"/>
  <c r="M107" i="7"/>
  <c r="N107" i="7" s="1"/>
  <c r="O107" i="7" s="1"/>
  <c r="M131" i="7"/>
  <c r="N131" i="7" s="1"/>
  <c r="O131" i="7" s="1"/>
  <c r="M155" i="7"/>
  <c r="N155" i="7" s="1"/>
  <c r="O155" i="7" s="1"/>
  <c r="M179" i="7"/>
  <c r="N179" i="7" s="1"/>
  <c r="O179" i="7" s="1"/>
  <c r="M203" i="7"/>
  <c r="N203" i="7" s="1"/>
  <c r="O203" i="7" s="1"/>
  <c r="M227" i="7"/>
  <c r="N227" i="7" s="1"/>
  <c r="O227" i="7" s="1"/>
  <c r="M251" i="7"/>
  <c r="N251" i="7" s="1"/>
  <c r="O251" i="7" s="1"/>
  <c r="M275" i="7"/>
  <c r="N275" i="7" s="1"/>
  <c r="O275" i="7" s="1"/>
  <c r="M299" i="7"/>
  <c r="N299" i="7" s="1"/>
  <c r="O299" i="7" s="1"/>
  <c r="M323" i="7"/>
  <c r="N323" i="7" s="1"/>
  <c r="O323" i="7" s="1"/>
  <c r="M347" i="7"/>
  <c r="N347" i="7" s="1"/>
  <c r="O347" i="7" s="1"/>
  <c r="M371" i="7"/>
  <c r="N371" i="7" s="1"/>
  <c r="O371" i="7" s="1"/>
  <c r="M395" i="7"/>
  <c r="N395" i="7" s="1"/>
  <c r="O395" i="7" s="1"/>
  <c r="M419" i="7"/>
  <c r="N419" i="7" s="1"/>
  <c r="O419" i="7" s="1"/>
  <c r="M443" i="7"/>
  <c r="N443" i="7" s="1"/>
  <c r="O443" i="7" s="1"/>
  <c r="M467" i="7"/>
  <c r="N467" i="7" s="1"/>
  <c r="O467" i="7" s="1"/>
  <c r="M491" i="7"/>
  <c r="N491" i="7" s="1"/>
  <c r="O491" i="7" s="1"/>
  <c r="M515" i="7"/>
  <c r="N515" i="7" s="1"/>
  <c r="O515" i="7" s="1"/>
  <c r="M539" i="7"/>
  <c r="N539" i="7" s="1"/>
  <c r="O539" i="7" s="1"/>
  <c r="M563" i="7"/>
  <c r="N563" i="7" s="1"/>
  <c r="O563" i="7" s="1"/>
  <c r="M587" i="7"/>
  <c r="N587" i="7" s="1"/>
  <c r="O587" i="7" s="1"/>
  <c r="M29" i="7"/>
  <c r="N29" i="7" s="1"/>
  <c r="O29" i="7" s="1"/>
  <c r="M53" i="7"/>
  <c r="N53" i="7" s="1"/>
  <c r="O53" i="7" s="1"/>
  <c r="M77" i="7"/>
  <c r="N77" i="7" s="1"/>
  <c r="O77" i="7" s="1"/>
  <c r="M101" i="7"/>
  <c r="N101" i="7" s="1"/>
  <c r="O101" i="7" s="1"/>
  <c r="M125" i="7"/>
  <c r="N125" i="7" s="1"/>
  <c r="O125" i="7" s="1"/>
  <c r="M149" i="7"/>
  <c r="N149" i="7" s="1"/>
  <c r="O149" i="7" s="1"/>
  <c r="M173" i="7"/>
  <c r="N173" i="7" s="1"/>
  <c r="O173" i="7" s="1"/>
  <c r="M197" i="7"/>
  <c r="N197" i="7" s="1"/>
  <c r="O197" i="7" s="1"/>
  <c r="M221" i="7"/>
  <c r="N221" i="7" s="1"/>
  <c r="O221" i="7" s="1"/>
  <c r="M245" i="7"/>
  <c r="N245" i="7" s="1"/>
  <c r="O245" i="7" s="1"/>
  <c r="M269" i="7"/>
  <c r="N269" i="7" s="1"/>
  <c r="O269" i="7" s="1"/>
  <c r="M293" i="7"/>
  <c r="N293" i="7" s="1"/>
  <c r="O293" i="7" s="1"/>
  <c r="M317" i="7"/>
  <c r="N317" i="7" s="1"/>
  <c r="O317" i="7" s="1"/>
  <c r="M341" i="7"/>
  <c r="N341" i="7" s="1"/>
  <c r="O341" i="7" s="1"/>
  <c r="M365" i="7"/>
  <c r="N365" i="7" s="1"/>
  <c r="O365" i="7" s="1"/>
  <c r="M389" i="7"/>
  <c r="N389" i="7" s="1"/>
  <c r="O389" i="7" s="1"/>
  <c r="M413" i="7"/>
  <c r="N413" i="7" s="1"/>
  <c r="O413" i="7" s="1"/>
  <c r="M437" i="7"/>
  <c r="N437" i="7" s="1"/>
  <c r="O437" i="7" s="1"/>
  <c r="M461" i="7"/>
  <c r="N461" i="7" s="1"/>
  <c r="O461" i="7" s="1"/>
  <c r="M485" i="7"/>
  <c r="N485" i="7" s="1"/>
  <c r="O485" i="7" s="1"/>
  <c r="M509" i="7"/>
  <c r="N509" i="7" s="1"/>
  <c r="O509" i="7" s="1"/>
  <c r="M533" i="7"/>
  <c r="N533" i="7" s="1"/>
  <c r="O533" i="7" s="1"/>
  <c r="M557" i="7"/>
  <c r="N557" i="7" s="1"/>
  <c r="O557" i="7" s="1"/>
  <c r="M581" i="7"/>
  <c r="N581" i="7" s="1"/>
  <c r="O581" i="7" s="1"/>
  <c r="M17" i="7"/>
  <c r="N17" i="7" s="1"/>
  <c r="O17" i="7" s="1"/>
  <c r="M11" i="7"/>
  <c r="N11" i="7" s="1"/>
  <c r="O11" i="7" s="1"/>
  <c r="A60" i="5"/>
  <c r="A55" i="5"/>
  <c r="A50" i="5"/>
  <c r="A45" i="5"/>
  <c r="A40" i="5"/>
  <c r="A35" i="5"/>
  <c r="A30" i="5"/>
  <c r="A25" i="5"/>
  <c r="A20" i="5"/>
  <c r="A15" i="5"/>
  <c r="A10" i="5"/>
  <c r="A510" i="5"/>
  <c r="A505" i="5"/>
  <c r="A500" i="5"/>
  <c r="A495" i="5"/>
  <c r="A490" i="5"/>
  <c r="A485" i="5"/>
  <c r="A480" i="5"/>
  <c r="A475" i="5"/>
  <c r="A470" i="5"/>
  <c r="A465" i="5"/>
  <c r="A460" i="5"/>
  <c r="A455" i="5"/>
  <c r="A450" i="5"/>
  <c r="A445" i="5"/>
  <c r="A440" i="5"/>
  <c r="A435" i="5"/>
  <c r="A430" i="5"/>
  <c r="A425" i="5"/>
  <c r="A420" i="5"/>
  <c r="A415" i="5"/>
  <c r="A410" i="5"/>
  <c r="A405" i="5"/>
  <c r="A400" i="5"/>
  <c r="A395" i="5"/>
  <c r="A390" i="5"/>
  <c r="A385" i="5"/>
  <c r="A380" i="5"/>
  <c r="A375" i="5"/>
  <c r="A370" i="5"/>
  <c r="A365" i="5"/>
  <c r="A360" i="5"/>
  <c r="A355" i="5"/>
  <c r="A350" i="5"/>
  <c r="A345" i="5"/>
  <c r="A340" i="5"/>
  <c r="A335" i="5"/>
  <c r="A330" i="5"/>
  <c r="A325" i="5"/>
  <c r="A320" i="5"/>
  <c r="A315" i="5"/>
  <c r="A310" i="5"/>
  <c r="A305" i="5"/>
  <c r="A300" i="5"/>
  <c r="A295" i="5"/>
  <c r="A290" i="5"/>
  <c r="A285" i="5"/>
  <c r="A280" i="5"/>
  <c r="A275" i="5"/>
  <c r="A270" i="5"/>
  <c r="A265" i="5"/>
  <c r="A260" i="5"/>
  <c r="A255" i="5"/>
  <c r="A250" i="5"/>
  <c r="A245" i="5"/>
  <c r="A240" i="5"/>
  <c r="A235" i="5"/>
  <c r="A230" i="5"/>
  <c r="A225" i="5"/>
  <c r="A220" i="5"/>
  <c r="A215" i="5"/>
  <c r="A210" i="5"/>
  <c r="A205" i="5"/>
  <c r="A200" i="5"/>
  <c r="A195" i="5"/>
  <c r="A190" i="5"/>
  <c r="A185" i="5"/>
  <c r="A180" i="5"/>
  <c r="A175" i="5"/>
  <c r="A170" i="5"/>
  <c r="A165" i="5"/>
  <c r="A160" i="5"/>
  <c r="A155" i="5"/>
  <c r="A150" i="5"/>
  <c r="A145" i="5"/>
  <c r="A140" i="5"/>
  <c r="A135" i="5"/>
  <c r="A130" i="5"/>
  <c r="A125" i="5"/>
  <c r="A120" i="5"/>
  <c r="A115" i="5"/>
  <c r="A110" i="5"/>
  <c r="A105" i="5"/>
  <c r="A100" i="5"/>
  <c r="A95" i="5"/>
  <c r="A90" i="5"/>
  <c r="A85" i="5"/>
  <c r="A80" i="5"/>
  <c r="A75" i="5"/>
  <c r="A70" i="5"/>
  <c r="A65" i="5"/>
  <c r="P365" i="7" l="1"/>
  <c r="E63" i="8" s="1"/>
  <c r="D63" i="8"/>
  <c r="P563" i="7"/>
  <c r="E96" i="8" s="1"/>
  <c r="D96" i="8"/>
  <c r="P179" i="7"/>
  <c r="E32" i="8" s="1"/>
  <c r="D32" i="8"/>
  <c r="P575" i="7"/>
  <c r="E98" i="8" s="1"/>
  <c r="D98" i="8"/>
  <c r="P353" i="7"/>
  <c r="E61" i="8" s="1"/>
  <c r="D61" i="8"/>
  <c r="P533" i="7"/>
  <c r="E91" i="8" s="1"/>
  <c r="D91" i="8"/>
  <c r="P149" i="7"/>
  <c r="E27" i="8" s="1"/>
  <c r="D27" i="8"/>
  <c r="P347" i="7"/>
  <c r="E60" i="8" s="1"/>
  <c r="D60" i="8"/>
  <c r="P569" i="7"/>
  <c r="E97" i="8" s="1"/>
  <c r="D97" i="8"/>
  <c r="P71" i="7"/>
  <c r="E14" i="8" s="1"/>
  <c r="D14" i="8"/>
  <c r="P599" i="7"/>
  <c r="E102" i="8" s="1"/>
  <c r="D102" i="8"/>
  <c r="P317" i="7"/>
  <c r="E55" i="8" s="1"/>
  <c r="D55" i="8"/>
  <c r="P515" i="7"/>
  <c r="E88" i="8" s="1"/>
  <c r="D88" i="8"/>
  <c r="P545" i="7"/>
  <c r="E93" i="8" s="1"/>
  <c r="D93" i="8"/>
  <c r="P23" i="7"/>
  <c r="E6" i="8" s="1"/>
  <c r="P305" i="7"/>
  <c r="E53" i="8" s="1"/>
  <c r="D53" i="8"/>
  <c r="P485" i="7"/>
  <c r="E83" i="8" s="1"/>
  <c r="D83" i="8"/>
  <c r="P101" i="7"/>
  <c r="E19" i="8" s="1"/>
  <c r="D19" i="8"/>
  <c r="P299" i="7"/>
  <c r="E52" i="8" s="1"/>
  <c r="D52" i="8"/>
  <c r="P521" i="7"/>
  <c r="E89" i="8" s="1"/>
  <c r="D89" i="8"/>
  <c r="P233" i="7"/>
  <c r="E41" i="8" s="1"/>
  <c r="D41" i="8"/>
  <c r="P311" i="7"/>
  <c r="E54" i="8" s="1"/>
  <c r="D54" i="8"/>
  <c r="P461" i="7"/>
  <c r="E79" i="8" s="1"/>
  <c r="D79" i="8"/>
  <c r="P77" i="7"/>
  <c r="E15" i="8" s="1"/>
  <c r="D15" i="8"/>
  <c r="P275" i="7"/>
  <c r="E48" i="8" s="1"/>
  <c r="D48" i="8"/>
  <c r="P497" i="7"/>
  <c r="E85" i="8" s="1"/>
  <c r="D85" i="8"/>
  <c r="P209" i="7"/>
  <c r="E37" i="8" s="1"/>
  <c r="D37" i="8"/>
  <c r="P257" i="7"/>
  <c r="E45" i="8" s="1"/>
  <c r="D45" i="8"/>
  <c r="P437" i="7"/>
  <c r="E75" i="8" s="1"/>
  <c r="D75" i="8"/>
  <c r="P53" i="7"/>
  <c r="E11" i="8" s="1"/>
  <c r="D11" i="8"/>
  <c r="P443" i="7"/>
  <c r="E76" i="8" s="1"/>
  <c r="D76" i="8"/>
  <c r="P59" i="7"/>
  <c r="E12" i="8" s="1"/>
  <c r="D12" i="8"/>
  <c r="P449" i="7"/>
  <c r="E77" i="8" s="1"/>
  <c r="D77" i="8"/>
  <c r="P335" i="7"/>
  <c r="E58" i="8" s="1"/>
  <c r="D58" i="8"/>
  <c r="P185" i="7"/>
  <c r="E33" i="8" s="1"/>
  <c r="D33" i="8"/>
  <c r="P191" i="7"/>
  <c r="E34" i="8" s="1"/>
  <c r="D34" i="8"/>
  <c r="P161" i="7"/>
  <c r="E29" i="8" s="1"/>
  <c r="D29" i="8"/>
  <c r="P167" i="7"/>
  <c r="E30" i="8" s="1"/>
  <c r="D30" i="8"/>
  <c r="P413" i="7"/>
  <c r="E71" i="8" s="1"/>
  <c r="D71" i="8"/>
  <c r="P221" i="7"/>
  <c r="E39" i="8" s="1"/>
  <c r="D39" i="8"/>
  <c r="P29" i="7"/>
  <c r="E7" i="8" s="1"/>
  <c r="P419" i="7"/>
  <c r="E72" i="8" s="1"/>
  <c r="D72" i="8"/>
  <c r="P227" i="7"/>
  <c r="E40" i="8" s="1"/>
  <c r="D40" i="8"/>
  <c r="P35" i="7"/>
  <c r="E8" i="8" s="1"/>
  <c r="P425" i="7"/>
  <c r="E73" i="8" s="1"/>
  <c r="D73" i="8"/>
  <c r="P263" i="7"/>
  <c r="E46" i="8" s="1"/>
  <c r="D46" i="8"/>
  <c r="P65" i="7"/>
  <c r="E13" i="8" s="1"/>
  <c r="D13" i="8"/>
  <c r="P95" i="7"/>
  <c r="E18" i="8" s="1"/>
  <c r="D18" i="8"/>
  <c r="P137" i="7"/>
  <c r="E25" i="8" s="1"/>
  <c r="D25" i="8"/>
  <c r="P119" i="7"/>
  <c r="E22" i="8" s="1"/>
  <c r="D22" i="8"/>
  <c r="P557" i="7"/>
  <c r="E95" i="8" s="1"/>
  <c r="D95" i="8"/>
  <c r="P173" i="7"/>
  <c r="E31" i="8" s="1"/>
  <c r="D31" i="8"/>
  <c r="P371" i="7"/>
  <c r="E64" i="8" s="1"/>
  <c r="D64" i="8"/>
  <c r="P473" i="7"/>
  <c r="E81" i="8" s="1"/>
  <c r="D81" i="8"/>
  <c r="P143" i="7"/>
  <c r="E26" i="8" s="1"/>
  <c r="D26" i="8"/>
  <c r="P527" i="7"/>
  <c r="E90" i="8" s="1"/>
  <c r="D90" i="8"/>
  <c r="P89" i="7"/>
  <c r="E17" i="8" s="1"/>
  <c r="D17" i="8"/>
  <c r="P341" i="7"/>
  <c r="E59" i="8" s="1"/>
  <c r="D59" i="8"/>
  <c r="P539" i="7"/>
  <c r="E92" i="8" s="1"/>
  <c r="D92" i="8"/>
  <c r="P155" i="7"/>
  <c r="E28" i="8" s="1"/>
  <c r="D28" i="8"/>
  <c r="P551" i="7"/>
  <c r="E94" i="8" s="1"/>
  <c r="D94" i="8"/>
  <c r="P455" i="7"/>
  <c r="E78" i="8" s="1"/>
  <c r="D78" i="8"/>
  <c r="P329" i="7"/>
  <c r="E57" i="8" s="1"/>
  <c r="D57" i="8"/>
  <c r="P509" i="7"/>
  <c r="E87" i="8" s="1"/>
  <c r="D87" i="8"/>
  <c r="P125" i="7"/>
  <c r="E23" i="8" s="1"/>
  <c r="D23" i="8"/>
  <c r="P323" i="7"/>
  <c r="E56" i="8" s="1"/>
  <c r="D56" i="8"/>
  <c r="P131" i="7"/>
  <c r="E24" i="8" s="1"/>
  <c r="D24" i="8"/>
  <c r="P503" i="7"/>
  <c r="E86" i="8" s="1"/>
  <c r="D86" i="8"/>
  <c r="P407" i="7"/>
  <c r="E70" i="8" s="1"/>
  <c r="D70" i="8"/>
  <c r="P383" i="7"/>
  <c r="E66" i="8" s="1"/>
  <c r="D66" i="8"/>
  <c r="P293" i="7"/>
  <c r="E51" i="8" s="1"/>
  <c r="D51" i="8"/>
  <c r="P491" i="7"/>
  <c r="E84" i="8" s="1"/>
  <c r="D84" i="8"/>
  <c r="P107" i="7"/>
  <c r="E20" i="8" s="1"/>
  <c r="D20" i="8"/>
  <c r="P479" i="7"/>
  <c r="E82" i="8" s="1"/>
  <c r="D82" i="8"/>
  <c r="P359" i="7"/>
  <c r="E62" i="8" s="1"/>
  <c r="D62" i="8"/>
  <c r="P281" i="7"/>
  <c r="E49" i="8" s="1"/>
  <c r="D49" i="8"/>
  <c r="P17" i="7"/>
  <c r="E5" i="8" s="1"/>
  <c r="P269" i="7"/>
  <c r="E47" i="8" s="1"/>
  <c r="D47" i="8"/>
  <c r="P467" i="7"/>
  <c r="E80" i="8" s="1"/>
  <c r="D80" i="8"/>
  <c r="P83" i="7"/>
  <c r="E16" i="8" s="1"/>
  <c r="D16" i="8"/>
  <c r="P431" i="7"/>
  <c r="E74" i="8" s="1"/>
  <c r="D74" i="8"/>
  <c r="P239" i="7"/>
  <c r="E42" i="8" s="1"/>
  <c r="D42" i="8"/>
  <c r="P287" i="7"/>
  <c r="E50" i="8" s="1"/>
  <c r="D50" i="8"/>
  <c r="P245" i="7"/>
  <c r="E43" i="8" s="1"/>
  <c r="D43" i="8"/>
  <c r="P251" i="7"/>
  <c r="E44" i="8" s="1"/>
  <c r="D44" i="8"/>
  <c r="P581" i="7"/>
  <c r="E99" i="8" s="1"/>
  <c r="D99" i="8"/>
  <c r="P389" i="7"/>
  <c r="E67" i="8" s="1"/>
  <c r="D67" i="8"/>
  <c r="P197" i="7"/>
  <c r="E35" i="8" s="1"/>
  <c r="D35" i="8"/>
  <c r="P587" i="7"/>
  <c r="E100" i="8" s="1"/>
  <c r="D100" i="8"/>
  <c r="P395" i="7"/>
  <c r="E68" i="8" s="1"/>
  <c r="D68" i="8"/>
  <c r="P203" i="7"/>
  <c r="E36" i="8" s="1"/>
  <c r="D36" i="8"/>
  <c r="P593" i="7"/>
  <c r="E101" i="8" s="1"/>
  <c r="D101" i="8"/>
  <c r="P401" i="7"/>
  <c r="E69" i="8" s="1"/>
  <c r="D69" i="8"/>
  <c r="P215" i="7"/>
  <c r="E38" i="8" s="1"/>
  <c r="D38" i="8"/>
  <c r="P41" i="7"/>
  <c r="E9" i="8" s="1"/>
  <c r="P377" i="7"/>
  <c r="E65" i="8" s="1"/>
  <c r="D65" i="8"/>
  <c r="P113" i="7"/>
  <c r="E21" i="8" s="1"/>
  <c r="D21" i="8"/>
  <c r="P47" i="7"/>
  <c r="E10" i="8" s="1"/>
  <c r="D10" i="8"/>
  <c r="P11" i="7"/>
  <c r="A5" i="5"/>
  <c r="L5" i="7"/>
  <c r="M5" i="7" s="1"/>
  <c r="N5" i="7" s="1"/>
  <c r="O5" i="7" s="1"/>
  <c r="P5" i="7" s="1"/>
</calcChain>
</file>

<file path=xl/sharedStrings.xml><?xml version="1.0" encoding="utf-8"?>
<sst xmlns="http://schemas.openxmlformats.org/spreadsheetml/2006/main" count="331" uniqueCount="234">
  <si>
    <t>TEL : 036-2265000</t>
  </si>
  <si>
    <t>LINE LAYOUT</t>
  </si>
  <si>
    <t>SMV</t>
  </si>
  <si>
    <t>TEAM:</t>
  </si>
  <si>
    <t>SN</t>
  </si>
  <si>
    <t>BTK</t>
  </si>
  <si>
    <t>PS</t>
  </si>
  <si>
    <t>Name</t>
  </si>
  <si>
    <t>NO</t>
  </si>
  <si>
    <t>M/C</t>
  </si>
  <si>
    <t>PLANNED EFF%</t>
  </si>
  <si>
    <t>TACK TIME</t>
  </si>
  <si>
    <t>PLANNED TARGET PER HOUR</t>
  </si>
  <si>
    <t xml:space="preserve">MO  : </t>
  </si>
  <si>
    <t xml:space="preserve">    I E DEPARTMENT</t>
  </si>
  <si>
    <t>GSD</t>
  </si>
  <si>
    <t xml:space="preserve">OPERATION </t>
  </si>
  <si>
    <t>GSD OP CODE</t>
  </si>
  <si>
    <t>M/C TYPE</t>
  </si>
  <si>
    <t>MC SMV</t>
  </si>
  <si>
    <t>HLP SMV</t>
  </si>
  <si>
    <t>TOTAL SMV</t>
  </si>
  <si>
    <t>TARGET</t>
  </si>
  <si>
    <t>M/ LEVEL</t>
  </si>
  <si>
    <t>CODE REF</t>
  </si>
  <si>
    <t>FINISHING SMV</t>
  </si>
  <si>
    <t>TAPE IRON</t>
  </si>
  <si>
    <t>MACHINE SMV</t>
  </si>
  <si>
    <t>MO + HLP</t>
  </si>
  <si>
    <t>CUTTING SMV</t>
  </si>
  <si>
    <t xml:space="preserve">TACK TIME </t>
  </si>
  <si>
    <t>HOUR</t>
  </si>
  <si>
    <t>PER HR</t>
  </si>
  <si>
    <t>PACKING SMV</t>
  </si>
  <si>
    <t>100% TGT</t>
  </si>
  <si>
    <t>HELPER SMV</t>
  </si>
  <si>
    <t xml:space="preserve">65% TGT </t>
  </si>
  <si>
    <t xml:space="preserve">50% TGT </t>
  </si>
  <si>
    <t>STYLE</t>
  </si>
  <si>
    <t>IE OFFICER</t>
  </si>
  <si>
    <t>DESCRIPTION</t>
  </si>
  <si>
    <t>Factrory manager</t>
  </si>
  <si>
    <t>IE Manager</t>
  </si>
  <si>
    <t>QA manager</t>
  </si>
  <si>
    <t>Pro Executive</t>
  </si>
  <si>
    <t>IE Officer</t>
  </si>
  <si>
    <t>--------------------------</t>
  </si>
  <si>
    <t>----------------------------------</t>
  </si>
  <si>
    <t>Remarks</t>
  </si>
  <si>
    <t>Mac</t>
  </si>
  <si>
    <t xml:space="preserve">Q/C </t>
  </si>
  <si>
    <t>Sup</t>
  </si>
  <si>
    <t>Variation</t>
  </si>
  <si>
    <t>Duration</t>
  </si>
  <si>
    <t>End time</t>
  </si>
  <si>
    <t>Start time</t>
  </si>
  <si>
    <t>Operation</t>
  </si>
  <si>
    <t>EPF</t>
  </si>
  <si>
    <t>Line feeding analysis report</t>
  </si>
  <si>
    <t>-----------------------</t>
  </si>
  <si>
    <t>Date</t>
  </si>
  <si>
    <t>Planned time (Min)</t>
  </si>
  <si>
    <t>Cycle time (Sec.)</t>
  </si>
  <si>
    <t>Line          :-</t>
  </si>
  <si>
    <t>Style          :-</t>
  </si>
  <si>
    <t>No</t>
  </si>
  <si>
    <t>Avg. (Min)</t>
  </si>
  <si>
    <t>with allw. 10% (Min)</t>
  </si>
  <si>
    <t>Hourly Pieces Capacity</t>
  </si>
  <si>
    <t xml:space="preserve">Total (Min) </t>
  </si>
  <si>
    <t>Capacity Graph</t>
  </si>
  <si>
    <t>Eff %</t>
  </si>
  <si>
    <t>Eff%</t>
  </si>
  <si>
    <t>Capacity (Pieces)</t>
  </si>
  <si>
    <t>BONDING</t>
  </si>
  <si>
    <t>Total SMV</t>
  </si>
  <si>
    <t>3O/L</t>
  </si>
  <si>
    <t>5O/L</t>
  </si>
  <si>
    <t>6O/L</t>
  </si>
  <si>
    <t>SN CUTTER</t>
  </si>
  <si>
    <t>B/T</t>
  </si>
  <si>
    <t>S/N JIG</t>
  </si>
  <si>
    <t>Machine</t>
  </si>
  <si>
    <t>No of  Machines</t>
  </si>
  <si>
    <t>VELCRO</t>
  </si>
  <si>
    <t>`</t>
  </si>
  <si>
    <t>OPERATION   BULLETIN</t>
  </si>
  <si>
    <t xml:space="preserve">STYLE NO </t>
  </si>
  <si>
    <t>ITEM</t>
  </si>
  <si>
    <t>CLIENT</t>
  </si>
  <si>
    <t>LINE NO</t>
  </si>
  <si>
    <t>-</t>
  </si>
  <si>
    <t>LAST UPDATE :-</t>
  </si>
  <si>
    <t>H1</t>
  </si>
  <si>
    <t>H2</t>
  </si>
  <si>
    <t>H3</t>
  </si>
  <si>
    <t>H4</t>
  </si>
  <si>
    <t>H5</t>
  </si>
  <si>
    <t>H8</t>
  </si>
  <si>
    <t>H9</t>
  </si>
  <si>
    <t>H10</t>
  </si>
  <si>
    <t>H11</t>
  </si>
  <si>
    <t>H12</t>
  </si>
  <si>
    <t>H14</t>
  </si>
  <si>
    <t>H16</t>
  </si>
  <si>
    <t>H18</t>
  </si>
  <si>
    <t>CONCORD APPAREL (PVT) LTD.</t>
  </si>
  <si>
    <t xml:space="preserve">     BLOCK A0, SEETHAWAKA INDUSTRIAL PARK, AVISSAWELLA, SRI LANKA.</t>
  </si>
  <si>
    <t>SNCUT</t>
  </si>
  <si>
    <t>TBLE</t>
  </si>
  <si>
    <t>KASHMIRA</t>
  </si>
  <si>
    <t>PAWANI</t>
  </si>
  <si>
    <t>TBL</t>
  </si>
  <si>
    <t>NEW H</t>
  </si>
  <si>
    <t>NAWAM</t>
  </si>
  <si>
    <t>SNJIG</t>
  </si>
  <si>
    <t>SUDESHA</t>
  </si>
  <si>
    <t>RAJINI</t>
  </si>
  <si>
    <t>B1</t>
  </si>
  <si>
    <t>H19</t>
  </si>
  <si>
    <t xml:space="preserve"> MACHINE</t>
  </si>
  <si>
    <t xml:space="preserve"> NO OF MACHINES</t>
  </si>
  <si>
    <t>DN (UBT)</t>
  </si>
  <si>
    <t>JACKET</t>
  </si>
  <si>
    <t>AVISSAWELLA| SRI LANKA</t>
  </si>
  <si>
    <t>TEL : 0704888491</t>
  </si>
  <si>
    <t>PANT</t>
  </si>
  <si>
    <t xml:space="preserve">                        CONCORD APPAREL (PVT) LTD.</t>
  </si>
  <si>
    <t>TOTAL SEW SMV</t>
  </si>
  <si>
    <t>FRONT PKT *2</t>
  </si>
  <si>
    <t>FRONT PKT MOUTH FACIN ATTACH *2</t>
  </si>
  <si>
    <t>FRONT PKT BAG FACIN ATTACH *2</t>
  </si>
  <si>
    <t>FRONT PKT BAG ATTACH TO PKT MOUTH *2</t>
  </si>
  <si>
    <t>FRONT PKT MOUTH STRY STTICH *2</t>
  </si>
  <si>
    <t>FRONT PKT BAG TST *2</t>
  </si>
  <si>
    <t>FRONT PKT BAG TACK TO SS &amp; WB *2</t>
  </si>
  <si>
    <t>FRONT PKT BAG CLOSE WITH TRUN *2</t>
  </si>
  <si>
    <t>3OL</t>
  </si>
  <si>
    <t>FRONT PKT MOUTH BTK *4</t>
  </si>
  <si>
    <t>FRONT</t>
  </si>
  <si>
    <t>FLY FACIN EDGE OL *1</t>
  </si>
  <si>
    <t>FLY BOX EDGE OL *1</t>
  </si>
  <si>
    <t>FLY BOX EDGE RUN STTICH *1</t>
  </si>
  <si>
    <t>FRONT EDGE OL WITH FLY FACING *2</t>
  </si>
  <si>
    <t>FRONT EDGE STRY STTICH *1</t>
  </si>
  <si>
    <t>ZIPPER ATTACH TO FLY FACING *1</t>
  </si>
  <si>
    <t>J STTICH WITH MARK *1</t>
  </si>
  <si>
    <t>FRONT SETTING *1</t>
  </si>
  <si>
    <t>CROTCH ATTACH *1</t>
  </si>
  <si>
    <t>FINISHING</t>
  </si>
  <si>
    <t>TOTAL FINISHING SMV</t>
  </si>
  <si>
    <t>BACK WELT PKT *2</t>
  </si>
  <si>
    <t>BACK WELT PKT BAG FACIN ATTACH *2</t>
  </si>
  <si>
    <t>BACK WELT PKT RUN STTICH WITH PKT BAG *2</t>
  </si>
  <si>
    <t>JIG</t>
  </si>
  <si>
    <t>BACK</t>
  </si>
  <si>
    <t>BACK RISE JOIN *1</t>
  </si>
  <si>
    <t>5OL</t>
  </si>
  <si>
    <t>WAIST BAND *1</t>
  </si>
  <si>
    <t>WAIST BAND CONER MAKE *2</t>
  </si>
  <si>
    <t>WAIST BAND CONER TST *2</t>
  </si>
  <si>
    <t>WAIST BAND ATTACH TO BODY *1</t>
  </si>
  <si>
    <t>WAIST BAND CLOSE *1</t>
  </si>
  <si>
    <t>SNC</t>
  </si>
  <si>
    <t>F1</t>
  </si>
  <si>
    <t>ASSMBLY</t>
  </si>
  <si>
    <t>SIDE SEAM JOIN *2</t>
  </si>
  <si>
    <t>PO LABEL TACK WITH ATTACH TO WAIST *1</t>
  </si>
  <si>
    <t>WAIST BAND LOOP MAKE WITH TRUN *1</t>
  </si>
  <si>
    <t>WAIST BAND LOOP TACK *5</t>
  </si>
  <si>
    <t>1ST LOOP TACK *5</t>
  </si>
  <si>
    <t>2ND LOOP TACK *5</t>
  </si>
  <si>
    <t>BACK DART MAKE *2</t>
  </si>
  <si>
    <t>IN SEAM JOIN *1</t>
  </si>
  <si>
    <t>BTM HEM CLOSE *2</t>
  </si>
  <si>
    <t>IN SEAM BTK *1</t>
  </si>
  <si>
    <t>PRINT ATTACH</t>
  </si>
  <si>
    <t>IRON</t>
  </si>
  <si>
    <t>HS</t>
  </si>
  <si>
    <t>PRINT ATTACH SMV</t>
  </si>
  <si>
    <t>P1</t>
  </si>
  <si>
    <t>P2</t>
  </si>
  <si>
    <t>HELPER</t>
  </si>
  <si>
    <t>TOTAL HELPER SMV</t>
  </si>
  <si>
    <t>FLY BOX TRUN *1</t>
  </si>
  <si>
    <t>FLY BOX IRON *1</t>
  </si>
  <si>
    <t>HL</t>
  </si>
  <si>
    <t>BACK WELT CONER CUT *4</t>
  </si>
  <si>
    <t>WAIST BAND LOOP IRON *1</t>
  </si>
  <si>
    <t>WAIST BAND LOOP CUT *5</t>
  </si>
  <si>
    <t>H6</t>
  </si>
  <si>
    <t>H7</t>
  </si>
  <si>
    <t>EX</t>
  </si>
  <si>
    <t>BACK WELT FINISH IRON *2</t>
  </si>
  <si>
    <t>OUT THRED CUT</t>
  </si>
  <si>
    <t>USTRO 037</t>
  </si>
  <si>
    <t>US POLO</t>
  </si>
  <si>
    <t>FRONT PKT BAG IN SIDE COIN PKT *1</t>
  </si>
  <si>
    <t>IN SIDE COIN PKT HEM *1</t>
  </si>
  <si>
    <t>IN SIDE COIN PKT ATTACH *1</t>
  </si>
  <si>
    <t>FRONT SIDE ZIPPER PKT *1</t>
  </si>
  <si>
    <t>SIDE ZIPPER EDEG TACK *2</t>
  </si>
  <si>
    <t>SIDE ZIPPER PKT BAG FACIN ATTACH *1</t>
  </si>
  <si>
    <t>FRONT PKT BAG ATTACH TO SIDE ZIPPER EDGE *1</t>
  </si>
  <si>
    <t>SIDE ZIPPER PKT BAG FACIN CLOSE *1</t>
  </si>
  <si>
    <t>SIDE ZIPPER PKT FACINA ATTACH TO ZIPPER *1</t>
  </si>
  <si>
    <t>FLY BOX LABEL ATTACH *1</t>
  </si>
  <si>
    <t>J BTK *2</t>
  </si>
  <si>
    <t>BACK RISE CLOSE *1</t>
  </si>
  <si>
    <t>BACK WELT PKT CONER TACK *4</t>
  </si>
  <si>
    <t>BACK WELT PKT BAG FACIN CLOSE *2</t>
  </si>
  <si>
    <t>BACK WELT PKT TOP EDGE ATTACH *2</t>
  </si>
  <si>
    <t>BACK WELT PKT BAG CLOSE WITH TRUN *2</t>
  </si>
  <si>
    <t>BACK WELT PKT BAG TST *2</t>
  </si>
  <si>
    <t>BACK WELT PKT BAG LABEL ATTACH *1</t>
  </si>
  <si>
    <t>BACK WELT PKT BAG TACK TO TOP EDGE *2</t>
  </si>
  <si>
    <t>BACK WELT PKT MOUTH BTK *4</t>
  </si>
  <si>
    <t>IN SIDE WAIST BAND ATTACH *1</t>
  </si>
  <si>
    <t>WAIST BAND BUTTON ATTACH *2</t>
  </si>
  <si>
    <t>SNP</t>
  </si>
  <si>
    <t>SIDE SEAM ZIPPER ATTACH TO BACK SIDE *1</t>
  </si>
  <si>
    <t>BACK SIDE EDGE OL *1</t>
  </si>
  <si>
    <t>FRONT SIDE EDGE OL *1</t>
  </si>
  <si>
    <t>SIDE SEM ATTACH *1</t>
  </si>
  <si>
    <t>SIDE SEAM ZIPPER BTK *2</t>
  </si>
  <si>
    <t>1ST LOOP TACK  BTK *5</t>
  </si>
  <si>
    <t>2ND LOOP TACK BTK *5</t>
  </si>
  <si>
    <t>WAIST BAND PRINT ATTACH *1</t>
  </si>
  <si>
    <t>WAIST BAND PRINT ATTACH HS *1</t>
  </si>
  <si>
    <t>BACK WELT MOUTH FIUSING ATTACH *2</t>
  </si>
  <si>
    <t>WAIST BAND IRON *2</t>
  </si>
  <si>
    <t>WAIST BAND MARK *2</t>
  </si>
  <si>
    <t>FRONT PKT BAG TOP &amp; BTM JOIN *4</t>
  </si>
  <si>
    <t>FRONT WAIST IN SIDE TAPE TACK 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</si>
</sst>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0.000"/>
    <numFmt numFmtId="166" formatCode="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Calibri"/>
      <charset val="134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b/>
      <sz val="8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DD9C3"/>
      </patternFill>
    </fill>
    <fill>
      <patternFill patternType="solid">
        <fgColor theme="0"/>
        <bgColor rgb="FFFDEAD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DEAD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rgb="FFDDD9C3"/>
      </patternFill>
    </fill>
    <fill>
      <patternFill patternType="solid">
        <fgColor rgb="FFFFFF00"/>
        <bgColor rgb="FFF2F2F2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5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  <xf numFmtId="0" fontId="7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9" fontId="10" fillId="0" borderId="0" applyFont="0" applyFill="0" applyBorder="0" applyAlignment="0" applyProtection="0"/>
    <xf numFmtId="0" fontId="7" fillId="0" borderId="0"/>
    <xf numFmtId="0" fontId="6" fillId="0" borderId="0"/>
    <xf numFmtId="0" fontId="4" fillId="0" borderId="0"/>
    <xf numFmtId="0" fontId="1" fillId="0" borderId="0"/>
    <xf numFmtId="0" fontId="1" fillId="0" borderId="0"/>
  </cellStyleXfs>
  <cellXfs count="355">
    <xf numFmtId="0" fontId="0" fillId="0" borderId="0" xfId="0"/>
    <xf numFmtId="0" fontId="6" fillId="0" borderId="0" xfId="11" applyAlignment="1">
      <alignment horizontal="center" vertical="center"/>
    </xf>
    <xf numFmtId="0" fontId="6" fillId="0" borderId="0" xfId="11" applyAlignment="1">
      <alignment vertical="center"/>
    </xf>
    <xf numFmtId="0" fontId="6" fillId="0" borderId="0" xfId="11" quotePrefix="1" applyAlignment="1">
      <alignment vertical="center"/>
    </xf>
    <xf numFmtId="0" fontId="6" fillId="0" borderId="2" xfId="11" applyBorder="1" applyAlignment="1">
      <alignment horizontal="center" vertical="center"/>
    </xf>
    <xf numFmtId="0" fontId="6" fillId="0" borderId="0" xfId="11" quotePrefix="1" applyAlignment="1">
      <alignment horizontal="center"/>
    </xf>
    <xf numFmtId="0" fontId="12" fillId="0" borderId="0" xfId="1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3" xfId="11" quotePrefix="1" applyFont="1" applyBorder="1" applyAlignment="1">
      <alignment horizontal="center" vertical="center"/>
    </xf>
    <xf numFmtId="0" fontId="3" fillId="0" borderId="2" xfId="11" quotePrefix="1" applyFont="1" applyBorder="1" applyAlignment="1">
      <alignment horizontal="center" vertical="center"/>
    </xf>
    <xf numFmtId="0" fontId="6" fillId="0" borderId="23" xfId="11" applyBorder="1" applyAlignment="1">
      <alignment horizontal="center" vertical="center"/>
    </xf>
    <xf numFmtId="0" fontId="6" fillId="0" borderId="40" xfId="11" applyBorder="1" applyAlignment="1">
      <alignment horizontal="center" vertical="center"/>
    </xf>
    <xf numFmtId="0" fontId="5" fillId="0" borderId="40" xfId="11" applyFont="1" applyBorder="1" applyAlignment="1">
      <alignment horizontal="center" vertical="center" wrapText="1"/>
    </xf>
    <xf numFmtId="0" fontId="6" fillId="0" borderId="44" xfId="11" applyBorder="1" applyAlignment="1">
      <alignment horizontal="center" vertical="center"/>
    </xf>
    <xf numFmtId="0" fontId="6" fillId="0" borderId="14" xfId="11" applyBorder="1" applyAlignment="1">
      <alignment horizontal="center" vertical="center"/>
    </xf>
    <xf numFmtId="0" fontId="6" fillId="0" borderId="15" xfId="11" applyBorder="1" applyAlignment="1">
      <alignment horizontal="center" vertical="center"/>
    </xf>
    <xf numFmtId="0" fontId="6" fillId="0" borderId="46" xfId="11" applyBorder="1" applyAlignment="1">
      <alignment horizontal="center" vertical="center"/>
    </xf>
    <xf numFmtId="0" fontId="6" fillId="0" borderId="17" xfId="11" applyBorder="1" applyAlignment="1">
      <alignment horizontal="center" vertical="center"/>
    </xf>
    <xf numFmtId="0" fontId="6" fillId="0" borderId="47" xfId="11" applyBorder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7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9" xfId="9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48" xfId="9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2" borderId="0" xfId="0" applyFont="1" applyFill="1"/>
    <xf numFmtId="0" fontId="17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8" fillId="2" borderId="0" xfId="1" applyFont="1" applyFill="1" applyAlignment="1" applyProtection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/>
    <xf numFmtId="1" fontId="17" fillId="2" borderId="0" xfId="0" applyNumberFormat="1" applyFont="1" applyFill="1" applyAlignment="1">
      <alignment horizontal="center"/>
    </xf>
    <xf numFmtId="18" fontId="17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3" borderId="25" xfId="0" applyFont="1" applyFill="1" applyBorder="1" applyAlignment="1">
      <alignment horizontal="center" vertical="center"/>
    </xf>
    <xf numFmtId="0" fontId="14" fillId="3" borderId="14" xfId="0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1" fontId="17" fillId="2" borderId="50" xfId="0" applyNumberFormat="1" applyFont="1" applyFill="1" applyBorder="1" applyAlignment="1">
      <alignment horizontal="center" vertical="center"/>
    </xf>
    <xf numFmtId="9" fontId="17" fillId="2" borderId="0" xfId="9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7" fillId="3" borderId="30" xfId="0" applyFont="1" applyFill="1" applyBorder="1" applyAlignment="1" applyProtection="1">
      <alignment horizontal="center" vertical="center"/>
      <protection locked="0"/>
    </xf>
    <xf numFmtId="0" fontId="17" fillId="2" borderId="17" xfId="0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9" fontId="17" fillId="2" borderId="1" xfId="9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21" xfId="0" applyFont="1" applyFill="1" applyBorder="1"/>
    <xf numFmtId="0" fontId="14" fillId="2" borderId="19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14" fillId="2" borderId="21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/>
    <xf numFmtId="0" fontId="19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center"/>
    </xf>
    <xf numFmtId="0" fontId="22" fillId="3" borderId="0" xfId="0" applyFont="1" applyFill="1"/>
    <xf numFmtId="0" fontId="23" fillId="4" borderId="0" xfId="0" applyFont="1" applyFill="1"/>
    <xf numFmtId="0" fontId="23" fillId="5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right" vertical="center"/>
    </xf>
    <xf numFmtId="0" fontId="24" fillId="3" borderId="0" xfId="0" applyFont="1" applyFill="1"/>
    <xf numFmtId="0" fontId="23" fillId="4" borderId="0" xfId="0" applyFont="1" applyFill="1" applyAlignment="1">
      <alignment vertical="center"/>
    </xf>
    <xf numFmtId="0" fontId="22" fillId="3" borderId="5" xfId="0" applyFont="1" applyFill="1" applyBorder="1" applyAlignment="1">
      <alignment horizontal="center"/>
    </xf>
    <xf numFmtId="0" fontId="23" fillId="6" borderId="33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/>
    </xf>
    <xf numFmtId="0" fontId="23" fillId="6" borderId="34" xfId="0" applyFont="1" applyFill="1" applyBorder="1" applyAlignment="1">
      <alignment horizontal="center" vertical="center" wrapText="1"/>
    </xf>
    <xf numFmtId="9" fontId="23" fillId="6" borderId="17" xfId="0" applyNumberFormat="1" applyFont="1" applyFill="1" applyBorder="1" applyAlignment="1">
      <alignment horizontal="center" vertical="center"/>
    </xf>
    <xf numFmtId="0" fontId="22" fillId="3" borderId="2" xfId="0" applyFont="1" applyFill="1" applyBorder="1"/>
    <xf numFmtId="0" fontId="23" fillId="3" borderId="2" xfId="3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6" borderId="2" xfId="0" applyFont="1" applyFill="1" applyBorder="1" applyAlignment="1">
      <alignment horizontal="center" vertical="center" wrapText="1"/>
    </xf>
    <xf numFmtId="9" fontId="23" fillId="6" borderId="2" xfId="0" applyNumberFormat="1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3" borderId="2" xfId="2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/>
    </xf>
    <xf numFmtId="2" fontId="23" fillId="3" borderId="11" xfId="0" applyNumberFormat="1" applyFont="1" applyFill="1" applyBorder="1" applyAlignment="1">
      <alignment horizontal="center"/>
    </xf>
    <xf numFmtId="2" fontId="23" fillId="6" borderId="11" xfId="0" applyNumberFormat="1" applyFont="1" applyFill="1" applyBorder="1" applyAlignment="1">
      <alignment horizontal="center" vertical="center" wrapText="1"/>
    </xf>
    <xf numFmtId="1" fontId="23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165" fontId="23" fillId="3" borderId="11" xfId="0" applyNumberFormat="1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/>
    </xf>
    <xf numFmtId="0" fontId="22" fillId="3" borderId="9" xfId="0" applyFont="1" applyFill="1" applyBorder="1"/>
    <xf numFmtId="0" fontId="23" fillId="4" borderId="37" xfId="0" applyFont="1" applyFill="1" applyBorder="1" applyAlignment="1">
      <alignment horizontal="center" vertical="center"/>
    </xf>
    <xf numFmtId="166" fontId="23" fillId="4" borderId="32" xfId="0" applyNumberFormat="1" applyFont="1" applyFill="1" applyBorder="1" applyAlignment="1" applyProtection="1">
      <alignment vertical="center"/>
      <protection locked="0"/>
    </xf>
    <xf numFmtId="0" fontId="23" fillId="4" borderId="32" xfId="0" applyFont="1" applyFill="1" applyBorder="1" applyAlignment="1">
      <alignment horizontal="center" vertical="center"/>
    </xf>
    <xf numFmtId="2" fontId="23" fillId="4" borderId="32" xfId="0" applyNumberFormat="1" applyFont="1" applyFill="1" applyBorder="1" applyAlignment="1" applyProtection="1">
      <alignment horizontal="center" vertical="center"/>
      <protection locked="0"/>
    </xf>
    <xf numFmtId="1" fontId="23" fillId="4" borderId="32" xfId="0" applyNumberFormat="1" applyFont="1" applyFill="1" applyBorder="1" applyAlignment="1">
      <alignment horizontal="center" vertical="center"/>
    </xf>
    <xf numFmtId="2" fontId="23" fillId="4" borderId="18" xfId="0" applyNumberFormat="1" applyFont="1" applyFill="1" applyBorder="1" applyAlignment="1">
      <alignment horizontal="center" vertical="center"/>
    </xf>
    <xf numFmtId="0" fontId="23" fillId="3" borderId="1" xfId="0" applyFont="1" applyFill="1" applyBorder="1"/>
    <xf numFmtId="0" fontId="23" fillId="3" borderId="9" xfId="0" applyFont="1" applyFill="1" applyBorder="1" applyAlignment="1">
      <alignment vertical="center"/>
    </xf>
    <xf numFmtId="2" fontId="23" fillId="4" borderId="0" xfId="0" applyNumberFormat="1" applyFont="1" applyFill="1" applyAlignment="1" applyProtection="1">
      <alignment horizontal="center" vertical="center"/>
      <protection locked="0"/>
    </xf>
    <xf numFmtId="2" fontId="23" fillId="4" borderId="21" xfId="0" applyNumberFormat="1" applyFont="1" applyFill="1" applyBorder="1" applyAlignment="1">
      <alignment horizontal="center" vertical="center"/>
    </xf>
    <xf numFmtId="2" fontId="23" fillId="4" borderId="9" xfId="0" applyNumberFormat="1" applyFont="1" applyFill="1" applyBorder="1" applyAlignment="1">
      <alignment horizontal="left" vertical="center"/>
    </xf>
    <xf numFmtId="2" fontId="23" fillId="4" borderId="4" xfId="0" applyNumberFormat="1" applyFont="1" applyFill="1" applyBorder="1" applyAlignment="1">
      <alignment horizontal="left" vertical="center"/>
    </xf>
    <xf numFmtId="2" fontId="23" fillId="4" borderId="10" xfId="0" applyNumberFormat="1" applyFont="1" applyFill="1" applyBorder="1" applyAlignment="1">
      <alignment horizontal="left" vertical="center"/>
    </xf>
    <xf numFmtId="2" fontId="23" fillId="4" borderId="9" xfId="0" applyNumberFormat="1" applyFont="1" applyFill="1" applyBorder="1" applyAlignment="1">
      <alignment horizontal="center" vertical="center"/>
    </xf>
    <xf numFmtId="2" fontId="23" fillId="4" borderId="10" xfId="0" applyNumberFormat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2" fontId="23" fillId="4" borderId="0" xfId="0" applyNumberFormat="1" applyFont="1" applyFill="1" applyAlignment="1">
      <alignment horizontal="center" vertical="center"/>
    </xf>
    <xf numFmtId="0" fontId="23" fillId="4" borderId="21" xfId="0" applyFont="1" applyFill="1" applyBorder="1" applyAlignment="1">
      <alignment vertical="center"/>
    </xf>
    <xf numFmtId="2" fontId="23" fillId="4" borderId="0" xfId="0" applyNumberFormat="1" applyFont="1" applyFill="1" applyAlignment="1">
      <alignment vertical="center"/>
    </xf>
    <xf numFmtId="0" fontId="23" fillId="4" borderId="39" xfId="0" applyFont="1" applyFill="1" applyBorder="1" applyAlignment="1">
      <alignment horizontal="center" vertical="center"/>
    </xf>
    <xf numFmtId="0" fontId="23" fillId="4" borderId="41" xfId="0" applyFont="1" applyFill="1" applyBorder="1" applyAlignment="1">
      <alignment vertical="center"/>
    </xf>
    <xf numFmtId="1" fontId="23" fillId="4" borderId="41" xfId="0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vertical="center"/>
    </xf>
    <xf numFmtId="0" fontId="23" fillId="3" borderId="0" xfId="0" applyFont="1" applyFill="1"/>
    <xf numFmtId="10" fontId="23" fillId="4" borderId="0" xfId="0" applyNumberFormat="1" applyFont="1" applyFill="1"/>
    <xf numFmtId="0" fontId="18" fillId="2" borderId="0" xfId="1" applyFont="1" applyFill="1" applyAlignment="1" applyProtection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" fontId="17" fillId="3" borderId="50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4" fillId="3" borderId="0" xfId="0" applyFont="1" applyFill="1"/>
    <xf numFmtId="0" fontId="14" fillId="3" borderId="0" xfId="0" applyFont="1" applyFill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0" xfId="0" applyFont="1" applyFill="1"/>
    <xf numFmtId="9" fontId="17" fillId="3" borderId="0" xfId="0" applyNumberFormat="1" applyFont="1" applyFill="1" applyAlignment="1">
      <alignment horizontal="center"/>
    </xf>
    <xf numFmtId="0" fontId="25" fillId="3" borderId="2" xfId="2" applyFont="1" applyFill="1" applyBorder="1" applyAlignment="1">
      <alignment horizontal="center" vertical="center"/>
    </xf>
    <xf numFmtId="0" fontId="26" fillId="3" borderId="2" xfId="0" applyFont="1" applyFill="1" applyBorder="1"/>
    <xf numFmtId="0" fontId="26" fillId="3" borderId="2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left"/>
    </xf>
    <xf numFmtId="2" fontId="26" fillId="3" borderId="2" xfId="0" applyNumberFormat="1" applyFont="1" applyFill="1" applyBorder="1" applyAlignment="1">
      <alignment horizont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2" fontId="17" fillId="2" borderId="15" xfId="0" applyNumberFormat="1" applyFont="1" applyFill="1" applyBorder="1" applyAlignment="1">
      <alignment horizontal="center" vertical="center"/>
    </xf>
    <xf numFmtId="0" fontId="14" fillId="3" borderId="29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30" fillId="8" borderId="55" xfId="0" applyFont="1" applyFill="1" applyBorder="1" applyAlignment="1">
      <alignment horizontal="center"/>
    </xf>
    <xf numFmtId="0" fontId="30" fillId="8" borderId="56" xfId="0" applyFont="1" applyFill="1" applyBorder="1"/>
    <xf numFmtId="0" fontId="14" fillId="8" borderId="57" xfId="0" applyFont="1" applyFill="1" applyBorder="1" applyAlignment="1" applyProtection="1">
      <alignment horizontal="center"/>
      <protection locked="0"/>
    </xf>
    <xf numFmtId="0" fontId="14" fillId="8" borderId="58" xfId="0" applyFont="1" applyFill="1" applyBorder="1" applyAlignment="1">
      <alignment horizontal="center"/>
    </xf>
    <xf numFmtId="0" fontId="30" fillId="8" borderId="59" xfId="0" applyFont="1" applyFill="1" applyBorder="1" applyAlignment="1">
      <alignment horizontal="center"/>
    </xf>
    <xf numFmtId="0" fontId="14" fillId="8" borderId="60" xfId="0" applyFont="1" applyFill="1" applyBorder="1" applyAlignment="1" applyProtection="1">
      <alignment horizontal="center"/>
      <protection locked="0"/>
    </xf>
    <xf numFmtId="0" fontId="31" fillId="0" borderId="2" xfId="0" applyFont="1" applyBorder="1"/>
    <xf numFmtId="0" fontId="32" fillId="3" borderId="2" xfId="0" applyFont="1" applyFill="1" applyBorder="1" applyAlignment="1">
      <alignment horizontal="center"/>
    </xf>
    <xf numFmtId="0" fontId="32" fillId="6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3" fillId="4" borderId="41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/>
    </xf>
    <xf numFmtId="2" fontId="31" fillId="0" borderId="2" xfId="0" applyNumberFormat="1" applyFont="1" applyBorder="1" applyAlignment="1">
      <alignment horizontal="center"/>
    </xf>
    <xf numFmtId="0" fontId="22" fillId="11" borderId="37" xfId="0" applyFont="1" applyFill="1" applyBorder="1"/>
    <xf numFmtId="0" fontId="23" fillId="12" borderId="32" xfId="0" applyFont="1" applyFill="1" applyBorder="1" applyAlignment="1">
      <alignment vertical="center" wrapText="1"/>
    </xf>
    <xf numFmtId="0" fontId="23" fillId="12" borderId="18" xfId="0" applyFont="1" applyFill="1" applyBorder="1"/>
    <xf numFmtId="0" fontId="22" fillId="11" borderId="1" xfId="0" applyFont="1" applyFill="1" applyBorder="1"/>
    <xf numFmtId="0" fontId="23" fillId="12" borderId="0" xfId="0" applyFont="1" applyFill="1" applyAlignment="1">
      <alignment vertical="center" wrapText="1"/>
    </xf>
    <xf numFmtId="0" fontId="23" fillId="12" borderId="0" xfId="0" applyFont="1" applyFill="1" applyAlignment="1">
      <alignment horizontal="center" vertical="center"/>
    </xf>
    <xf numFmtId="0" fontId="23" fillId="12" borderId="21" xfId="0" applyFont="1" applyFill="1" applyBorder="1"/>
    <xf numFmtId="0" fontId="24" fillId="11" borderId="21" xfId="0" applyFont="1" applyFill="1" applyBorder="1"/>
    <xf numFmtId="0" fontId="22" fillId="11" borderId="0" xfId="0" applyFont="1" applyFill="1"/>
    <xf numFmtId="0" fontId="22" fillId="11" borderId="0" xfId="0" applyFont="1" applyFill="1" applyAlignment="1">
      <alignment horizontal="center"/>
    </xf>
    <xf numFmtId="0" fontId="23" fillId="12" borderId="0" xfId="0" applyFont="1" applyFill="1"/>
    <xf numFmtId="0" fontId="23" fillId="12" borderId="1" xfId="0" applyFont="1" applyFill="1" applyBorder="1" applyAlignment="1">
      <alignment horizontal="left" vertical="center"/>
    </xf>
    <xf numFmtId="0" fontId="23" fillId="12" borderId="0" xfId="0" applyFont="1" applyFill="1" applyAlignment="1">
      <alignment horizontal="left"/>
    </xf>
    <xf numFmtId="0" fontId="23" fillId="13" borderId="0" xfId="0" applyFont="1" applyFill="1" applyAlignment="1">
      <alignment horizontal="left" vertical="center"/>
    </xf>
    <xf numFmtId="0" fontId="23" fillId="12" borderId="0" xfId="0" applyFont="1" applyFill="1" applyAlignment="1">
      <alignment vertical="center"/>
    </xf>
    <xf numFmtId="0" fontId="23" fillId="12" borderId="0" xfId="0" applyFont="1" applyFill="1" applyAlignment="1">
      <alignment horizontal="center"/>
    </xf>
    <xf numFmtId="0" fontId="23" fillId="12" borderId="0" xfId="0" applyFont="1" applyFill="1" applyAlignment="1">
      <alignment horizontal="right" vertical="center"/>
    </xf>
    <xf numFmtId="0" fontId="23" fillId="12" borderId="21" xfId="0" applyFont="1" applyFill="1" applyBorder="1" applyAlignment="1">
      <alignment vertical="center"/>
    </xf>
    <xf numFmtId="0" fontId="23" fillId="12" borderId="39" xfId="0" applyFont="1" applyFill="1" applyBorder="1" applyAlignment="1">
      <alignment horizontal="left" vertical="center"/>
    </xf>
    <xf numFmtId="0" fontId="23" fillId="12" borderId="41" xfId="0" applyFont="1" applyFill="1" applyBorder="1" applyAlignment="1">
      <alignment horizontal="center" vertical="center"/>
    </xf>
    <xf numFmtId="0" fontId="23" fillId="12" borderId="41" xfId="0" applyFont="1" applyFill="1" applyBorder="1" applyAlignment="1">
      <alignment vertical="center"/>
    </xf>
    <xf numFmtId="0" fontId="23" fillId="13" borderId="41" xfId="0" applyFont="1" applyFill="1" applyBorder="1" applyAlignment="1">
      <alignment horizontal="left" vertical="center"/>
    </xf>
    <xf numFmtId="0" fontId="23" fillId="12" borderId="19" xfId="0" applyFont="1" applyFill="1" applyBorder="1" applyAlignment="1">
      <alignment vertical="center"/>
    </xf>
    <xf numFmtId="0" fontId="23" fillId="12" borderId="0" xfId="0" applyFont="1" applyFill="1" applyAlignment="1">
      <alignment horizontal="left" vertical="center"/>
    </xf>
    <xf numFmtId="165" fontId="32" fillId="3" borderId="36" xfId="0" applyNumberFormat="1" applyFont="1" applyFill="1" applyBorder="1" applyAlignment="1">
      <alignment horizontal="center"/>
    </xf>
    <xf numFmtId="0" fontId="32" fillId="6" borderId="11" xfId="0" applyFont="1" applyFill="1" applyBorder="1" applyAlignment="1">
      <alignment horizontal="center" vertical="center" wrapText="1"/>
    </xf>
    <xf numFmtId="1" fontId="32" fillId="4" borderId="2" xfId="0" applyNumberFormat="1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left"/>
    </xf>
    <xf numFmtId="2" fontId="32" fillId="3" borderId="2" xfId="0" applyNumberFormat="1" applyFont="1" applyFill="1" applyBorder="1" applyAlignment="1">
      <alignment horizontal="center"/>
    </xf>
    <xf numFmtId="0" fontId="34" fillId="7" borderId="2" xfId="0" applyFont="1" applyFill="1" applyBorder="1" applyAlignment="1">
      <alignment horizontal="center"/>
    </xf>
    <xf numFmtId="0" fontId="33" fillId="3" borderId="2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center"/>
    </xf>
    <xf numFmtId="2" fontId="35" fillId="3" borderId="2" xfId="0" applyNumberFormat="1" applyFont="1" applyFill="1" applyBorder="1" applyAlignment="1">
      <alignment horizontal="center"/>
    </xf>
    <xf numFmtId="0" fontId="32" fillId="3" borderId="36" xfId="0" applyFont="1" applyFill="1" applyBorder="1" applyAlignment="1">
      <alignment horizontal="center"/>
    </xf>
    <xf numFmtId="2" fontId="32" fillId="6" borderId="10" xfId="0" applyNumberFormat="1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/>
    </xf>
    <xf numFmtId="0" fontId="33" fillId="9" borderId="2" xfId="0" applyFont="1" applyFill="1" applyBorder="1" applyAlignment="1">
      <alignment horizontal="center"/>
    </xf>
    <xf numFmtId="0" fontId="32" fillId="10" borderId="2" xfId="0" applyFont="1" applyFill="1" applyBorder="1" applyAlignment="1">
      <alignment horizontal="center" vertical="center" wrapText="1"/>
    </xf>
    <xf numFmtId="165" fontId="32" fillId="3" borderId="11" xfId="0" applyNumberFormat="1" applyFont="1" applyFill="1" applyBorder="1" applyAlignment="1">
      <alignment horizontal="center"/>
    </xf>
    <xf numFmtId="0" fontId="23" fillId="12" borderId="32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31" fillId="0" borderId="54" xfId="0" applyFont="1" applyBorder="1"/>
    <xf numFmtId="0" fontId="34" fillId="9" borderId="2" xfId="0" applyFont="1" applyFill="1" applyBorder="1" applyAlignment="1">
      <alignment horizontal="center"/>
    </xf>
    <xf numFmtId="2" fontId="34" fillId="9" borderId="2" xfId="0" applyNumberFormat="1" applyFont="1" applyFill="1" applyBorder="1" applyAlignment="1">
      <alignment horizontal="center"/>
    </xf>
    <xf numFmtId="2" fontId="32" fillId="14" borderId="2" xfId="0" applyNumberFormat="1" applyFont="1" applyFill="1" applyBorder="1" applyAlignment="1">
      <alignment horizontal="center" vertical="center"/>
    </xf>
    <xf numFmtId="0" fontId="31" fillId="0" borderId="11" xfId="0" applyFont="1" applyBorder="1"/>
    <xf numFmtId="2" fontId="23" fillId="3" borderId="36" xfId="0" applyNumberFormat="1" applyFont="1" applyFill="1" applyBorder="1" applyAlignment="1">
      <alignment horizontal="center"/>
    </xf>
    <xf numFmtId="1" fontId="23" fillId="4" borderId="9" xfId="0" applyNumberFormat="1" applyFont="1" applyFill="1" applyBorder="1" applyAlignment="1">
      <alignment horizontal="left" vertical="center"/>
    </xf>
    <xf numFmtId="1" fontId="23" fillId="4" borderId="4" xfId="0" applyNumberFormat="1" applyFont="1" applyFill="1" applyBorder="1" applyAlignment="1">
      <alignment horizontal="left" vertical="center"/>
    </xf>
    <xf numFmtId="1" fontId="23" fillId="4" borderId="10" xfId="0" applyNumberFormat="1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0" fontId="23" fillId="4" borderId="41" xfId="0" applyFont="1" applyFill="1" applyBorder="1" applyAlignment="1">
      <alignment horizontal="left" vertical="center"/>
    </xf>
    <xf numFmtId="2" fontId="23" fillId="4" borderId="2" xfId="0" applyNumberFormat="1" applyFont="1" applyFill="1" applyBorder="1" applyAlignment="1">
      <alignment horizontal="left" vertical="center"/>
    </xf>
    <xf numFmtId="2" fontId="23" fillId="4" borderId="9" xfId="0" applyNumberFormat="1" applyFont="1" applyFill="1" applyBorder="1" applyAlignment="1">
      <alignment horizontal="center" vertical="center"/>
    </xf>
    <xf numFmtId="2" fontId="23" fillId="4" borderId="10" xfId="0" applyNumberFormat="1" applyFont="1" applyFill="1" applyBorder="1" applyAlignment="1">
      <alignment horizontal="center" vertical="center"/>
    </xf>
    <xf numFmtId="2" fontId="23" fillId="4" borderId="9" xfId="0" applyNumberFormat="1" applyFont="1" applyFill="1" applyBorder="1" applyAlignment="1">
      <alignment horizontal="left" vertical="center"/>
    </xf>
    <xf numFmtId="2" fontId="23" fillId="4" borderId="4" xfId="0" applyNumberFormat="1" applyFont="1" applyFill="1" applyBorder="1" applyAlignment="1">
      <alignment horizontal="left" vertical="center"/>
    </xf>
    <xf numFmtId="2" fontId="23" fillId="4" borderId="10" xfId="0" applyNumberFormat="1" applyFont="1" applyFill="1" applyBorder="1" applyAlignment="1">
      <alignment horizontal="left" vertical="center"/>
    </xf>
    <xf numFmtId="0" fontId="23" fillId="4" borderId="9" xfId="0" applyFont="1" applyFill="1" applyBorder="1" applyAlignment="1">
      <alignment horizontal="left" vertical="center"/>
    </xf>
    <xf numFmtId="0" fontId="23" fillId="4" borderId="4" xfId="0" applyFont="1" applyFill="1" applyBorder="1" applyAlignment="1">
      <alignment horizontal="left" vertical="center"/>
    </xf>
    <xf numFmtId="0" fontId="23" fillId="4" borderId="10" xfId="0" applyFont="1" applyFill="1" applyBorder="1" applyAlignment="1">
      <alignment horizontal="left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/>
    </xf>
    <xf numFmtId="0" fontId="23" fillId="6" borderId="33" xfId="0" applyFont="1" applyFill="1" applyBorder="1" applyAlignment="1">
      <alignment horizontal="center" vertical="center" wrapText="1"/>
    </xf>
    <xf numFmtId="0" fontId="23" fillId="6" borderId="34" xfId="0" applyFont="1" applyFill="1" applyBorder="1" applyAlignment="1">
      <alignment horizontal="center" vertical="center" wrapText="1"/>
    </xf>
    <xf numFmtId="1" fontId="23" fillId="4" borderId="9" xfId="0" applyNumberFormat="1" applyFont="1" applyFill="1" applyBorder="1" applyAlignment="1">
      <alignment horizontal="center" vertical="center"/>
    </xf>
    <xf numFmtId="1" fontId="23" fillId="4" borderId="4" xfId="0" applyNumberFormat="1" applyFont="1" applyFill="1" applyBorder="1" applyAlignment="1">
      <alignment horizontal="center" vertical="center"/>
    </xf>
    <xf numFmtId="1" fontId="23" fillId="4" borderId="10" xfId="0" applyNumberFormat="1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/>
    </xf>
    <xf numFmtId="0" fontId="23" fillId="6" borderId="16" xfId="0" applyFont="1" applyFill="1" applyBorder="1" applyAlignment="1">
      <alignment horizontal="center" vertical="center"/>
    </xf>
    <xf numFmtId="0" fontId="23" fillId="6" borderId="33" xfId="0" applyFont="1" applyFill="1" applyBorder="1" applyAlignment="1">
      <alignment horizontal="center" vertical="center"/>
    </xf>
    <xf numFmtId="0" fontId="23" fillId="6" borderId="34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right" vertical="center"/>
    </xf>
    <xf numFmtId="164" fontId="23" fillId="12" borderId="0" xfId="0" applyNumberFormat="1" applyFont="1" applyFill="1" applyAlignment="1">
      <alignment horizontal="center" vertical="center"/>
    </xf>
    <xf numFmtId="164" fontId="23" fillId="12" borderId="21" xfId="0" applyNumberFormat="1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/>
    </xf>
    <xf numFmtId="0" fontId="22" fillId="11" borderId="32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22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1" fontId="17" fillId="2" borderId="27" xfId="0" applyNumberFormat="1" applyFont="1" applyFill="1" applyBorder="1" applyAlignment="1">
      <alignment horizontal="center" vertical="center"/>
    </xf>
    <xf numFmtId="1" fontId="17" fillId="2" borderId="28" xfId="0" applyNumberFormat="1" applyFont="1" applyFill="1" applyBorder="1" applyAlignment="1">
      <alignment horizontal="center" vertical="center"/>
    </xf>
    <xf numFmtId="1" fontId="17" fillId="3" borderId="27" xfId="0" applyNumberFormat="1" applyFont="1" applyFill="1" applyBorder="1" applyAlignment="1">
      <alignment horizontal="center" vertical="center"/>
    </xf>
    <xf numFmtId="1" fontId="17" fillId="3" borderId="28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left" vertical="center"/>
    </xf>
    <xf numFmtId="1" fontId="16" fillId="2" borderId="7" xfId="0" applyNumberFormat="1" applyFont="1" applyFill="1" applyBorder="1" applyAlignment="1" applyProtection="1">
      <alignment horizontal="center"/>
      <protection locked="0"/>
    </xf>
    <xf numFmtId="1" fontId="16" fillId="2" borderId="12" xfId="0" applyNumberFormat="1" applyFont="1" applyFill="1" applyBorder="1" applyAlignment="1" applyProtection="1">
      <alignment horizontal="center"/>
      <protection locked="0"/>
    </xf>
    <xf numFmtId="1" fontId="16" fillId="2" borderId="8" xfId="0" applyNumberFormat="1" applyFont="1" applyFill="1" applyBorder="1" applyAlignment="1" applyProtection="1">
      <alignment horizontal="center"/>
      <protection locked="0"/>
    </xf>
    <xf numFmtId="0" fontId="16" fillId="2" borderId="7" xfId="0" applyFont="1" applyFill="1" applyBorder="1" applyAlignment="1" applyProtection="1">
      <alignment horizontal="center"/>
      <protection locked="0"/>
    </xf>
    <xf numFmtId="0" fontId="16" fillId="2" borderId="12" xfId="0" applyFont="1" applyFill="1" applyBorder="1" applyAlignment="1" applyProtection="1">
      <alignment horizontal="center"/>
      <protection locked="0"/>
    </xf>
    <xf numFmtId="0" fontId="16" fillId="2" borderId="8" xfId="0" applyFont="1" applyFill="1" applyBorder="1" applyAlignment="1" applyProtection="1">
      <alignment horizontal="center"/>
      <protection locked="0"/>
    </xf>
    <xf numFmtId="1" fontId="17" fillId="2" borderId="7" xfId="9" applyNumberFormat="1" applyFont="1" applyFill="1" applyBorder="1" applyAlignment="1">
      <alignment horizontal="center" vertical="center"/>
    </xf>
    <xf numFmtId="1" fontId="17" fillId="2" borderId="12" xfId="9" applyNumberFormat="1" applyFont="1" applyFill="1" applyBorder="1" applyAlignment="1">
      <alignment horizontal="center" vertical="center"/>
    </xf>
    <xf numFmtId="1" fontId="17" fillId="2" borderId="8" xfId="9" applyNumberFormat="1" applyFont="1" applyFill="1" applyBorder="1" applyAlignment="1">
      <alignment horizontal="center" vertical="center"/>
    </xf>
    <xf numFmtId="9" fontId="17" fillId="2" borderId="7" xfId="9" applyFont="1" applyFill="1" applyBorder="1" applyAlignment="1" applyProtection="1">
      <alignment horizontal="center" vertical="center"/>
      <protection locked="0"/>
    </xf>
    <xf numFmtId="9" fontId="17" fillId="2" borderId="12" xfId="9" applyFont="1" applyFill="1" applyBorder="1" applyAlignment="1" applyProtection="1">
      <alignment horizontal="center" vertical="center"/>
      <protection locked="0"/>
    </xf>
    <xf numFmtId="9" fontId="17" fillId="2" borderId="8" xfId="9" applyFont="1" applyFill="1" applyBorder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 applyProtection="1">
      <alignment horizontal="center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9" fontId="17" fillId="3" borderId="27" xfId="9" applyFont="1" applyFill="1" applyBorder="1" applyAlignment="1">
      <alignment horizontal="center" vertical="center"/>
    </xf>
    <xf numFmtId="9" fontId="17" fillId="3" borderId="31" xfId="9" applyFont="1" applyFill="1" applyBorder="1" applyAlignment="1">
      <alignment horizontal="center" vertical="center"/>
    </xf>
    <xf numFmtId="9" fontId="17" fillId="2" borderId="27" xfId="9" applyFont="1" applyFill="1" applyBorder="1" applyAlignment="1">
      <alignment horizontal="center" vertical="center"/>
    </xf>
    <xf numFmtId="9" fontId="17" fillId="2" borderId="31" xfId="9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28" fillId="3" borderId="9" xfId="0" applyFont="1" applyFill="1" applyBorder="1" applyAlignment="1">
      <alignment horizontal="left" vertical="center"/>
    </xf>
    <xf numFmtId="0" fontId="28" fillId="3" borderId="10" xfId="0" applyFont="1" applyFill="1" applyBorder="1" applyAlignment="1">
      <alignment horizontal="left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/>
    </xf>
    <xf numFmtId="0" fontId="29" fillId="7" borderId="39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2" fontId="17" fillId="2" borderId="7" xfId="9" applyNumberFormat="1" applyFont="1" applyFill="1" applyBorder="1" applyAlignment="1">
      <alignment horizontal="center" vertical="center"/>
    </xf>
    <xf numFmtId="2" fontId="17" fillId="2" borderId="12" xfId="9" applyNumberFormat="1" applyFont="1" applyFill="1" applyBorder="1" applyAlignment="1">
      <alignment horizontal="center" vertical="center"/>
    </xf>
    <xf numFmtId="2" fontId="17" fillId="2" borderId="8" xfId="9" applyNumberFormat="1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/>
    </xf>
    <xf numFmtId="0" fontId="6" fillId="0" borderId="5" xfId="11" applyBorder="1" applyAlignment="1">
      <alignment horizontal="center" vertical="center"/>
    </xf>
    <xf numFmtId="0" fontId="6" fillId="0" borderId="20" xfId="11" applyBorder="1" applyAlignment="1">
      <alignment horizontal="center" vertical="center"/>
    </xf>
    <xf numFmtId="0" fontId="6" fillId="0" borderId="6" xfId="11" applyBorder="1" applyAlignment="1">
      <alignment horizontal="center" vertical="center"/>
    </xf>
    <xf numFmtId="0" fontId="6" fillId="0" borderId="42" xfId="11" applyBorder="1" applyAlignment="1">
      <alignment horizontal="center" vertical="center"/>
    </xf>
    <xf numFmtId="0" fontId="6" fillId="0" borderId="45" xfId="11" applyBorder="1" applyAlignment="1">
      <alignment horizontal="center" vertical="center"/>
    </xf>
    <xf numFmtId="0" fontId="6" fillId="0" borderId="43" xfId="11" applyBorder="1" applyAlignment="1">
      <alignment horizontal="center" vertical="center"/>
    </xf>
    <xf numFmtId="0" fontId="6" fillId="0" borderId="33" xfId="11" applyBorder="1" applyAlignment="1">
      <alignment horizontal="center" vertical="center"/>
    </xf>
    <xf numFmtId="0" fontId="6" fillId="0" borderId="38" xfId="11" applyBorder="1" applyAlignment="1">
      <alignment horizontal="center" vertical="center"/>
    </xf>
    <xf numFmtId="0" fontId="6" fillId="0" borderId="34" xfId="1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3" fillId="0" borderId="2" xfId="11" applyFont="1" applyBorder="1" applyAlignment="1">
      <alignment horizontal="center" vertical="center"/>
    </xf>
    <xf numFmtId="0" fontId="6" fillId="0" borderId="2" xfId="11" applyBorder="1" applyAlignment="1">
      <alignment horizontal="center" vertical="center"/>
    </xf>
    <xf numFmtId="0" fontId="3" fillId="0" borderId="3" xfId="11" applyFont="1" applyBorder="1" applyAlignment="1">
      <alignment horizontal="center" vertical="center"/>
    </xf>
    <xf numFmtId="0" fontId="6" fillId="0" borderId="3" xfId="1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9" fontId="0" fillId="0" borderId="33" xfId="9" applyFont="1" applyBorder="1" applyAlignment="1">
      <alignment horizontal="center" vertical="center"/>
    </xf>
    <xf numFmtId="9" fontId="0" fillId="0" borderId="38" xfId="9" applyFont="1" applyBorder="1" applyAlignment="1">
      <alignment horizontal="center" vertical="center"/>
    </xf>
    <xf numFmtId="9" fontId="0" fillId="0" borderId="34" xfId="9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</cellXfs>
  <cellStyles count="15">
    <cellStyle name="Hyperlink" xfId="1" builtinId="8"/>
    <cellStyle name="Hyperlink 2 2" xfId="6" xr:uid="{00000000-0005-0000-0000-000001000000}"/>
    <cellStyle name="Normal" xfId="0" builtinId="0"/>
    <cellStyle name="Normal 2" xfId="4" xr:uid="{00000000-0005-0000-0000-000003000000}"/>
    <cellStyle name="Normal 2 2" xfId="7" xr:uid="{00000000-0005-0000-0000-000004000000}"/>
    <cellStyle name="Normal 2 3" xfId="10" xr:uid="{00000000-0005-0000-0000-000005000000}"/>
    <cellStyle name="Normal 3" xfId="5" xr:uid="{00000000-0005-0000-0000-000006000000}"/>
    <cellStyle name="Normal 3 2" xfId="8" xr:uid="{00000000-0005-0000-0000-000007000000}"/>
    <cellStyle name="Normal 4" xfId="3" xr:uid="{00000000-0005-0000-0000-000008000000}"/>
    <cellStyle name="Normal 5" xfId="2" xr:uid="{00000000-0005-0000-0000-000009000000}"/>
    <cellStyle name="Normal 6" xfId="11" xr:uid="{00000000-0005-0000-0000-00000A000000}"/>
    <cellStyle name="Normal 7" xfId="12" xr:uid="{00000000-0005-0000-0000-00000B000000}"/>
    <cellStyle name="Normal 7 2" xfId="14" xr:uid="{00000000-0005-0000-0000-00000C000000}"/>
    <cellStyle name="Normal 8" xfId="13" xr:uid="{00000000-0005-0000-0000-00000D000000}"/>
    <cellStyle name="Percent" xfId="9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848802099185499E-2"/>
          <c:y val="0.13645055664702033"/>
          <c:w val="0.96338974882863437"/>
          <c:h val="0.6958917954509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chart'!$E$2</c:f>
              <c:strCache>
                <c:ptCount val="1"/>
                <c:pt idx="0">
                  <c:v>Eff%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'Bar chart'!$C$3:$C$102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cat>
          <c:val>
            <c:numRef>
              <c:f>'Bar chart'!$E$3:$E$102</c:f>
              <c:numCache>
                <c:formatCode>0%</c:formatCode>
                <c:ptCount val="10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9-4AB7-9691-26310092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32096"/>
        <c:axId val="152690688"/>
      </c:barChart>
      <c:catAx>
        <c:axId val="2049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0688"/>
        <c:crosses val="autoZero"/>
        <c:auto val="0"/>
        <c:lblAlgn val="ctr"/>
        <c:lblOffset val="100"/>
        <c:noMultiLvlLbl val="0"/>
      </c:catAx>
      <c:valAx>
        <c:axId val="152690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32096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240723121198136E-2"/>
          <c:y val="0.10658045977011495"/>
          <c:w val="0.97192925591998547"/>
          <c:h val="0.70502988354725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chart'!$D$2</c:f>
              <c:strCache>
                <c:ptCount val="1"/>
                <c:pt idx="0">
                  <c:v>Capacity (Pieces)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'Bar chart'!$C$3:$C$102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cat>
          <c:val>
            <c:numRef>
              <c:f>'Bar chart'!$D$3:$D$102</c:f>
              <c:numCache>
                <c:formatCode>0</c:formatCode>
                <c:ptCount val="100"/>
                <c:pt idx="0">
                  <c:v>54</c:v>
                </c:pt>
                <c:pt idx="1">
                  <c:v>80</c:v>
                </c:pt>
                <c:pt idx="2">
                  <c:v>77</c:v>
                </c:pt>
                <c:pt idx="3">
                  <c:v>60</c:v>
                </c:pt>
                <c:pt idx="4">
                  <c:v>43</c:v>
                </c:pt>
                <c:pt idx="5">
                  <c:v>44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8-41E1-979B-A4FD3A9A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34656"/>
        <c:axId val="152692416"/>
      </c:barChart>
      <c:catAx>
        <c:axId val="2049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2416"/>
        <c:crosses val="autoZero"/>
        <c:auto val="1"/>
        <c:lblAlgn val="ctr"/>
        <c:lblOffset val="100"/>
        <c:noMultiLvlLbl val="0"/>
      </c:catAx>
      <c:valAx>
        <c:axId val="15269241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99607</xdr:colOff>
          <xdr:row>11</xdr:row>
          <xdr:rowOff>1</xdr:rowOff>
        </xdr:from>
        <xdr:to>
          <xdr:col>16</xdr:col>
          <xdr:colOff>46380</xdr:colOff>
          <xdr:row>161</xdr:row>
          <xdr:rowOff>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4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487395" y="2384613"/>
              <a:ext cx="2492749" cy="255494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76" name="AutoShape 80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77" name="AutoShape 84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78" name="AutoShape 15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79" name="AutoShape 158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0" name="AutoShape 124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881" name="AutoShape 80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2" name="AutoShape 84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3" name="AutoShape 15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4" name="AutoShape 158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5" name="AutoShape 249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6" name="AutoShape 184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7" name="AutoShape 185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8" name="AutoShape 186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rrowheads="1"/>
        </xdr:cNvSpPr>
      </xdr:nvSpPr>
      <xdr:spPr>
        <a:xfrm>
          <a:off x="9204512" y="1524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889" name="AutoShape 18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rrowheads="1"/>
        </xdr:cNvSpPr>
      </xdr:nvSpPr>
      <xdr:spPr>
        <a:xfrm>
          <a:off x="9185462" y="1524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0" name="AutoShape 80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1" name="AutoShape 84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2" name="AutoShape 15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3" name="AutoShape 158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4" name="AutoShape 124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895" name="AutoShape 80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6" name="AutoShape 84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7" name="AutoShape 15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8" name="AutoShape 158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899" name="AutoShape 249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900" name="AutoShape 184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901" name="AutoShape 185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902" name="AutoShape 186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rrowheads="1"/>
        </xdr:cNvSpPr>
      </xdr:nvSpPr>
      <xdr:spPr>
        <a:xfrm>
          <a:off x="9204512" y="1619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903" name="AutoShape 18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rrowheads="1"/>
        </xdr:cNvSpPr>
      </xdr:nvSpPr>
      <xdr:spPr>
        <a:xfrm>
          <a:off x="9185462" y="1619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04" name="AutoShape 80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05" name="AutoShape 84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06" name="AutoShape 15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07" name="AutoShape 158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08" name="AutoShape 124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909" name="AutoShape 80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0" name="AutoShape 84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1" name="AutoShape 15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2" name="AutoShape 158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3" name="AutoShape 249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4" name="AutoShape 184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5" name="AutoShape 185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6" name="AutoShape 186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rrowheads="1"/>
        </xdr:cNvSpPr>
      </xdr:nvSpPr>
      <xdr:spPr>
        <a:xfrm>
          <a:off x="9204512" y="1714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917" name="AutoShape 18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rrowheads="1"/>
        </xdr:cNvSpPr>
      </xdr:nvSpPr>
      <xdr:spPr>
        <a:xfrm>
          <a:off x="9185462" y="1714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18" name="AutoShape 80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19" name="AutoShape 84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0" name="AutoShape 15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1" name="AutoShape 158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2" name="AutoShape 124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923" name="AutoShape 80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4" name="AutoShape 84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5" name="AutoShape 15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6" name="AutoShape 158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7" name="AutoShape 249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8" name="AutoShape 184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29" name="AutoShape 185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30" name="AutoShape 186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rrowheads="1"/>
        </xdr:cNvSpPr>
      </xdr:nvSpPr>
      <xdr:spPr>
        <a:xfrm>
          <a:off x="9204512" y="1809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931" name="AutoShape 187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rrowheads="1"/>
        </xdr:cNvSpPr>
      </xdr:nvSpPr>
      <xdr:spPr>
        <a:xfrm>
          <a:off x="9185462" y="1809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2" name="AutoShape 80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3" name="AutoShape 84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4" name="AutoShape 157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5" name="AutoShape 158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6" name="AutoShape 124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937" name="AutoShape 80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8" name="AutoShape 84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39" name="AutoShape 157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0" name="AutoShape 158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1" name="AutoShape 24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2" name="AutoShape 184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3" name="AutoShape 185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4" name="AutoShape 186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rrowheads="1"/>
        </xdr:cNvSpPr>
      </xdr:nvSpPr>
      <xdr:spPr>
        <a:xfrm>
          <a:off x="9204512" y="2381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945" name="AutoShape 187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rrowheads="1"/>
        </xdr:cNvSpPr>
      </xdr:nvSpPr>
      <xdr:spPr>
        <a:xfrm>
          <a:off x="9185462" y="2381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46" name="AutoShape 80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47" name="AutoShape 84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48" name="AutoShape 15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49" name="AutoShape 158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0" name="AutoShape 124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951" name="AutoShape 80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2" name="AutoShape 84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3" name="AutoShape 157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4" name="AutoShape 158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5" name="AutoShape 24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6" name="AutoShape 184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7" name="AutoShape 185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8" name="AutoShape 186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rrowheads="1"/>
        </xdr:cNvSpPr>
      </xdr:nvSpPr>
      <xdr:spPr>
        <a:xfrm>
          <a:off x="9204512" y="2476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959" name="AutoShape 187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rrowheads="1"/>
        </xdr:cNvSpPr>
      </xdr:nvSpPr>
      <xdr:spPr>
        <a:xfrm>
          <a:off x="9185462" y="2476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0" name="AutoShape 8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1" name="AutoShape 84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2" name="AutoShape 157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3" name="AutoShape 158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4" name="AutoShape 124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965" name="AutoShape 80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6" name="AutoShape 84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7" name="AutoShape 157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8" name="AutoShape 158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69" name="AutoShape 24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70" name="AutoShape 184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71" name="AutoShape 185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72" name="AutoShape 186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rrowheads="1"/>
        </xdr:cNvSpPr>
      </xdr:nvSpPr>
      <xdr:spPr>
        <a:xfrm>
          <a:off x="9204512" y="2571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973" name="AutoShape 187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rrowheads="1"/>
        </xdr:cNvSpPr>
      </xdr:nvSpPr>
      <xdr:spPr>
        <a:xfrm>
          <a:off x="9185462" y="2571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74" name="AutoShape 80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75" name="AutoShape 84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76" name="AutoShape 157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77" name="AutoShape 158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78" name="AutoShape 124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979" name="AutoShape 80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0" name="AutoShape 84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1" name="AutoShape 157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2" name="AutoShape 158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3" name="AutoShape 249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4" name="AutoShape 184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5" name="AutoShape 185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6" name="AutoShape 186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rrowheads="1"/>
        </xdr:cNvSpPr>
      </xdr:nvSpPr>
      <xdr:spPr>
        <a:xfrm>
          <a:off x="9204512" y="2667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987" name="AutoShape 187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rrowheads="1"/>
        </xdr:cNvSpPr>
      </xdr:nvSpPr>
      <xdr:spPr>
        <a:xfrm>
          <a:off x="9185462" y="2667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88" name="AutoShape 80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89" name="AutoShape 84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0" name="AutoShape 157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1" name="AutoShape 158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2" name="AutoShape 124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993" name="AutoShape 80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4" name="AutoShape 84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5" name="AutoShape 157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6" name="AutoShape 158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7" name="AutoShape 249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8" name="AutoShape 184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999" name="AutoShape 185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1000" name="AutoShape 186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rrowheads="1"/>
        </xdr:cNvSpPr>
      </xdr:nvSpPr>
      <xdr:spPr>
        <a:xfrm>
          <a:off x="9204512" y="2762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1001" name="AutoShape 187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rrowheads="1"/>
        </xdr:cNvSpPr>
      </xdr:nvSpPr>
      <xdr:spPr>
        <a:xfrm>
          <a:off x="9185462" y="2762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2" name="AutoShape 80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3" name="AutoShape 84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4" name="AutoShape 157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5" name="AutoShape 158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6" name="AutoShape 124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1007" name="AutoShape 80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8" name="AutoShape 84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09" name="AutoShape 157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0" name="AutoShape 158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1" name="AutoShape 24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2" name="AutoShape 184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3" name="AutoShape 185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4" name="AutoShape 186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rrowheads="1"/>
        </xdr:cNvSpPr>
      </xdr:nvSpPr>
      <xdr:spPr>
        <a:xfrm>
          <a:off x="9204512" y="2857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1015" name="AutoShape 187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rrowheads="1"/>
        </xdr:cNvSpPr>
      </xdr:nvSpPr>
      <xdr:spPr>
        <a:xfrm>
          <a:off x="9185462" y="2857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16" name="AutoShape 80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17" name="AutoShape 84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18" name="AutoShape 15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19" name="AutoShape 158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0" name="AutoShape 124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1021" name="AutoShape 80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2" name="AutoShape 84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3" name="AutoShape 157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4" name="AutoShape 158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5" name="AutoShape 24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6" name="AutoShape 184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7" name="AutoShape 185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8" name="AutoShape 186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rrowheads="1"/>
        </xdr:cNvSpPr>
      </xdr:nvSpPr>
      <xdr:spPr>
        <a:xfrm>
          <a:off x="9204512" y="2952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1029" name="AutoShape 187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rrowheads="1"/>
        </xdr:cNvSpPr>
      </xdr:nvSpPr>
      <xdr:spPr>
        <a:xfrm>
          <a:off x="9185462" y="2952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0" name="AutoShape 80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1" name="AutoShape 84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2" name="AutoShape 157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3" name="AutoShape 158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4" name="AutoShape 124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1035" name="AutoShape 80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6" name="AutoShape 84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7" name="AutoShape 157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8" name="AutoShape 158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39" name="AutoShape 24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40" name="AutoShape 184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41" name="AutoShape 185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42" name="AutoShape 186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rrowheads="1"/>
        </xdr:cNvSpPr>
      </xdr:nvSpPr>
      <xdr:spPr>
        <a:xfrm>
          <a:off x="9204512" y="3048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043" name="AutoShape 187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rrowheads="1"/>
        </xdr:cNvSpPr>
      </xdr:nvSpPr>
      <xdr:spPr>
        <a:xfrm>
          <a:off x="9185462" y="3048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44" name="AutoShape 80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45" name="AutoShape 84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46" name="AutoShape 157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47" name="AutoShape 158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48" name="AutoShape 124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1049" name="AutoShape 80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0" name="AutoShape 84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1" name="AutoShape 157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2" name="AutoShape 158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3" name="AutoShape 24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4" name="AutoShape 184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5" name="AutoShape 185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6" name="AutoShape 186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rrowheads="1"/>
        </xdr:cNvSpPr>
      </xdr:nvSpPr>
      <xdr:spPr>
        <a:xfrm>
          <a:off x="9204512" y="3143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1057" name="AutoShape 187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rrowheads="1"/>
        </xdr:cNvSpPr>
      </xdr:nvSpPr>
      <xdr:spPr>
        <a:xfrm>
          <a:off x="9185462" y="3143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58" name="AutoShape 80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59" name="AutoShape 84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0" name="AutoShape 157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1" name="AutoShape 158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2" name="AutoShape 124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1063" name="AutoShape 80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4" name="AutoShape 84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5" name="AutoShape 157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6" name="AutoShape 158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7" name="AutoShape 24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8" name="AutoShape 184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69" name="AutoShape 185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70" name="AutoShape 186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rrowheads="1"/>
        </xdr:cNvSpPr>
      </xdr:nvSpPr>
      <xdr:spPr>
        <a:xfrm>
          <a:off x="9204512" y="3238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1071" name="AutoShape 187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rrowheads="1"/>
        </xdr:cNvSpPr>
      </xdr:nvSpPr>
      <xdr:spPr>
        <a:xfrm>
          <a:off x="9185462" y="3238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2" name="AutoShape 80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3" name="AutoShape 84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4" name="AutoShape 157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5" name="AutoShape 158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6" name="AutoShape 124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1077" name="AutoShape 80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8" name="AutoShape 84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79" name="AutoShape 157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0" name="AutoShape 158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1" name="AutoShape 24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2" name="AutoShape 184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3" name="AutoShape 185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4" name="AutoShape 186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rrowheads="1"/>
        </xdr:cNvSpPr>
      </xdr:nvSpPr>
      <xdr:spPr>
        <a:xfrm>
          <a:off x="9204512" y="3333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1085" name="AutoShape 187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rrowheads="1"/>
        </xdr:cNvSpPr>
      </xdr:nvSpPr>
      <xdr:spPr>
        <a:xfrm>
          <a:off x="9185462" y="3333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86" name="AutoShape 80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87" name="AutoShape 84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88" name="AutoShape 157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89" name="AutoShape 15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0" name="AutoShape 124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1091" name="AutoShape 80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2" name="AutoShape 84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3" name="AutoShape 157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4" name="AutoShape 158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5" name="AutoShape 24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6" name="AutoShape 184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7" name="AutoShape 185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8" name="AutoShape 186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rrowheads="1"/>
        </xdr:cNvSpPr>
      </xdr:nvSpPr>
      <xdr:spPr>
        <a:xfrm>
          <a:off x="9204512" y="3810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1099" name="AutoShape 187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rrowheads="1"/>
        </xdr:cNvSpPr>
      </xdr:nvSpPr>
      <xdr:spPr>
        <a:xfrm>
          <a:off x="9185462" y="3810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0" name="AutoShape 80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1" name="AutoShape 84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2" name="AutoShape 157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3" name="AutoShape 158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4" name="AutoShape 124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105" name="AutoShape 80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6" name="AutoShape 84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7" name="AutoShape 157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8" name="AutoShape 158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09" name="AutoShape 24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10" name="AutoShape 184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11" name="AutoShape 185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12" name="AutoShape 186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rrowheads="1"/>
        </xdr:cNvSpPr>
      </xdr:nvSpPr>
      <xdr:spPr>
        <a:xfrm>
          <a:off x="9204512" y="3905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13" name="AutoShape 187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rrowheads="1"/>
        </xdr:cNvSpPr>
      </xdr:nvSpPr>
      <xdr:spPr>
        <a:xfrm>
          <a:off x="9185462" y="3905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14" name="AutoShape 80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15" name="AutoShape 84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16" name="AutoShape 157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17" name="AutoShape 158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18" name="AutoShape 124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1119" name="AutoShape 80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0" name="AutoShape 84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1" name="AutoShape 157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2" name="AutoShape 158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3" name="AutoShape 24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4" name="AutoShape 184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5" name="AutoShape 185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6" name="AutoShape 186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rrowheads="1"/>
        </xdr:cNvSpPr>
      </xdr:nvSpPr>
      <xdr:spPr>
        <a:xfrm>
          <a:off x="9204512" y="4000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1127" name="AutoShape 18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rrowheads="1"/>
        </xdr:cNvSpPr>
      </xdr:nvSpPr>
      <xdr:spPr>
        <a:xfrm>
          <a:off x="9185462" y="4000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28" name="AutoShape 80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29" name="AutoShape 84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0" name="AutoShape 15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1" name="AutoShape 158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2" name="AutoShape 124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1133" name="AutoShape 80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4" name="AutoShape 84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5" name="AutoShape 157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6" name="AutoShape 158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7" name="AutoShape 249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8" name="AutoShape 184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39" name="AutoShape 185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40" name="AutoShape 186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rrowheads="1"/>
        </xdr:cNvSpPr>
      </xdr:nvSpPr>
      <xdr:spPr>
        <a:xfrm>
          <a:off x="9204512" y="4095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1141" name="AutoShape 187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rrowheads="1"/>
        </xdr:cNvSpPr>
      </xdr:nvSpPr>
      <xdr:spPr>
        <a:xfrm>
          <a:off x="9185462" y="4095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2" name="AutoShape 80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3" name="AutoShape 84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4" name="AutoShape 157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5" name="AutoShape 158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6" name="AutoShape 124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1147" name="AutoShape 80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8" name="AutoShape 84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49" name="AutoShape 157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0" name="AutoShape 158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1" name="AutoShape 249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2" name="AutoShape 184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3" name="AutoShape 185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4" name="AutoShape 186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rrowheads="1"/>
        </xdr:cNvSpPr>
      </xdr:nvSpPr>
      <xdr:spPr>
        <a:xfrm>
          <a:off x="9204512" y="419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1155" name="AutoShape 187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rrowheads="1"/>
        </xdr:cNvSpPr>
      </xdr:nvSpPr>
      <xdr:spPr>
        <a:xfrm>
          <a:off x="9185462" y="419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56" name="AutoShape 80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57" name="AutoShape 84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58" name="AutoShape 157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59" name="AutoShape 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0" name="AutoShape 124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1161" name="AutoShape 80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2" name="AutoShape 84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3" name="AutoShape 157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4" name="AutoShape 158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5" name="AutoShape 249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6" name="AutoShape 184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7" name="AutoShape 185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8" name="AutoShape 186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rrowheads="1"/>
        </xdr:cNvSpPr>
      </xdr:nvSpPr>
      <xdr:spPr>
        <a:xfrm>
          <a:off x="9204512" y="428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1169" name="AutoShape 187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rrowheads="1"/>
        </xdr:cNvSpPr>
      </xdr:nvSpPr>
      <xdr:spPr>
        <a:xfrm>
          <a:off x="9185462" y="428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2" name="AutoShape 80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3" name="AutoShape 84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4" name="AutoShape 157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5" name="AutoShape 158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6" name="AutoShape 124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1917" name="AutoShape 80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8" name="AutoShape 84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19" name="AutoShape 157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0" name="AutoShape 158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1" name="AutoShape 249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2" name="AutoShape 184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3" name="AutoShape 185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4" name="AutoShape 186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25" name="AutoShape 187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26" name="AutoShape 80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27" name="AutoShape 84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28" name="AutoShape 157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29" name="AutoShape 158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0" name="AutoShape 124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1931" name="AutoShape 80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2" name="AutoShape 84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3" name="AutoShape 157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4" name="AutoShape 158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5" name="AutoShape 249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6" name="AutoShape 184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7" name="AutoShape 185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8" name="AutoShape 186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39" name="AutoShape 187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0" name="AutoShape 80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1" name="AutoShape 84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2" name="AutoShape 157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3" name="AutoShape 158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4" name="AutoShape 124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1945" name="AutoShape 80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6" name="AutoShape 84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7" name="AutoShape 157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8" name="AutoShape 158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49" name="AutoShape 249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50" name="AutoShape 184">
          <a:extLst>
            <a:ext uri="{FF2B5EF4-FFF2-40B4-BE49-F238E27FC236}">
              <a16:creationId xmlns:a16="http://schemas.microsoft.com/office/drawing/2014/main" id="{00000000-0008-0000-0100-00009E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51" name="AutoShape 185">
          <a:extLst>
            <a:ext uri="{FF2B5EF4-FFF2-40B4-BE49-F238E27FC236}">
              <a16:creationId xmlns:a16="http://schemas.microsoft.com/office/drawing/2014/main" id="{00000000-0008-0000-0100-00009F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52" name="AutoShape 186">
          <a:extLst>
            <a:ext uri="{FF2B5EF4-FFF2-40B4-BE49-F238E27FC236}">
              <a16:creationId xmlns:a16="http://schemas.microsoft.com/office/drawing/2014/main" id="{00000000-0008-0000-0100-0000A0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53" name="AutoShape 187">
          <a:extLst>
            <a:ext uri="{FF2B5EF4-FFF2-40B4-BE49-F238E27FC236}">
              <a16:creationId xmlns:a16="http://schemas.microsoft.com/office/drawing/2014/main" id="{00000000-0008-0000-0100-0000A1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54" name="AutoShape 80">
          <a:extLst>
            <a:ext uri="{FF2B5EF4-FFF2-40B4-BE49-F238E27FC236}">
              <a16:creationId xmlns:a16="http://schemas.microsoft.com/office/drawing/2014/main" id="{00000000-0008-0000-0100-0000A2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55" name="AutoShape 84">
          <a:extLst>
            <a:ext uri="{FF2B5EF4-FFF2-40B4-BE49-F238E27FC236}">
              <a16:creationId xmlns:a16="http://schemas.microsoft.com/office/drawing/2014/main" id="{00000000-0008-0000-0100-0000A3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56" name="AutoShape 157">
          <a:extLst>
            <a:ext uri="{FF2B5EF4-FFF2-40B4-BE49-F238E27FC236}">
              <a16:creationId xmlns:a16="http://schemas.microsoft.com/office/drawing/2014/main" id="{00000000-0008-0000-0100-0000A4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57" name="AutoShape 158">
          <a:extLst>
            <a:ext uri="{FF2B5EF4-FFF2-40B4-BE49-F238E27FC236}">
              <a16:creationId xmlns:a16="http://schemas.microsoft.com/office/drawing/2014/main" id="{00000000-0008-0000-0100-0000A5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58" name="AutoShape 124">
          <a:extLst>
            <a:ext uri="{FF2B5EF4-FFF2-40B4-BE49-F238E27FC236}">
              <a16:creationId xmlns:a16="http://schemas.microsoft.com/office/drawing/2014/main" id="{00000000-0008-0000-0100-0000A6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1959" name="AutoShape 80">
          <a:extLst>
            <a:ext uri="{FF2B5EF4-FFF2-40B4-BE49-F238E27FC236}">
              <a16:creationId xmlns:a16="http://schemas.microsoft.com/office/drawing/2014/main" id="{00000000-0008-0000-0100-0000A7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0" name="AutoShape 84">
          <a:extLst>
            <a:ext uri="{FF2B5EF4-FFF2-40B4-BE49-F238E27FC236}">
              <a16:creationId xmlns:a16="http://schemas.microsoft.com/office/drawing/2014/main" id="{00000000-0008-0000-0100-0000A8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1" name="AutoShape 157">
          <a:extLst>
            <a:ext uri="{FF2B5EF4-FFF2-40B4-BE49-F238E27FC236}">
              <a16:creationId xmlns:a16="http://schemas.microsoft.com/office/drawing/2014/main" id="{00000000-0008-0000-0100-0000A9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2" name="AutoShape 158">
          <a:extLst>
            <a:ext uri="{FF2B5EF4-FFF2-40B4-BE49-F238E27FC236}">
              <a16:creationId xmlns:a16="http://schemas.microsoft.com/office/drawing/2014/main" id="{00000000-0008-0000-0100-0000AA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3" name="AutoShape 249">
          <a:extLst>
            <a:ext uri="{FF2B5EF4-FFF2-40B4-BE49-F238E27FC236}">
              <a16:creationId xmlns:a16="http://schemas.microsoft.com/office/drawing/2014/main" id="{00000000-0008-0000-0100-0000AB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4" name="AutoShape 184">
          <a:extLst>
            <a:ext uri="{FF2B5EF4-FFF2-40B4-BE49-F238E27FC236}">
              <a16:creationId xmlns:a16="http://schemas.microsoft.com/office/drawing/2014/main" id="{00000000-0008-0000-0100-0000AC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5" name="AutoShape 185">
          <a:extLst>
            <a:ext uri="{FF2B5EF4-FFF2-40B4-BE49-F238E27FC236}">
              <a16:creationId xmlns:a16="http://schemas.microsoft.com/office/drawing/2014/main" id="{00000000-0008-0000-0100-0000AD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6" name="AutoShape 186">
          <a:extLst>
            <a:ext uri="{FF2B5EF4-FFF2-40B4-BE49-F238E27FC236}">
              <a16:creationId xmlns:a16="http://schemas.microsoft.com/office/drawing/2014/main" id="{00000000-0008-0000-0100-0000AE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1967" name="AutoShape 187">
          <a:extLst>
            <a:ext uri="{FF2B5EF4-FFF2-40B4-BE49-F238E27FC236}">
              <a16:creationId xmlns:a16="http://schemas.microsoft.com/office/drawing/2014/main" id="{00000000-0008-0000-0100-0000AF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68" name="AutoShape 80">
          <a:extLst>
            <a:ext uri="{FF2B5EF4-FFF2-40B4-BE49-F238E27FC236}">
              <a16:creationId xmlns:a16="http://schemas.microsoft.com/office/drawing/2014/main" id="{00000000-0008-0000-0100-0000B0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69" name="AutoShape 84">
          <a:extLst>
            <a:ext uri="{FF2B5EF4-FFF2-40B4-BE49-F238E27FC236}">
              <a16:creationId xmlns:a16="http://schemas.microsoft.com/office/drawing/2014/main" id="{00000000-0008-0000-0100-0000B1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0" name="AutoShape 157">
          <a:extLst>
            <a:ext uri="{FF2B5EF4-FFF2-40B4-BE49-F238E27FC236}">
              <a16:creationId xmlns:a16="http://schemas.microsoft.com/office/drawing/2014/main" id="{00000000-0008-0000-0100-0000B2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1" name="AutoShape 158">
          <a:extLst>
            <a:ext uri="{FF2B5EF4-FFF2-40B4-BE49-F238E27FC236}">
              <a16:creationId xmlns:a16="http://schemas.microsoft.com/office/drawing/2014/main" id="{00000000-0008-0000-0100-0000B3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2" name="AutoShape 124">
          <a:extLst>
            <a:ext uri="{FF2B5EF4-FFF2-40B4-BE49-F238E27FC236}">
              <a16:creationId xmlns:a16="http://schemas.microsoft.com/office/drawing/2014/main" id="{00000000-0008-0000-0100-0000B4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1973" name="AutoShape 80">
          <a:extLst>
            <a:ext uri="{FF2B5EF4-FFF2-40B4-BE49-F238E27FC236}">
              <a16:creationId xmlns:a16="http://schemas.microsoft.com/office/drawing/2014/main" id="{00000000-0008-0000-0100-0000B5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4" name="AutoShape 84">
          <a:extLst>
            <a:ext uri="{FF2B5EF4-FFF2-40B4-BE49-F238E27FC236}">
              <a16:creationId xmlns:a16="http://schemas.microsoft.com/office/drawing/2014/main" id="{00000000-0008-0000-0100-0000B6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5" name="AutoShape 157">
          <a:extLst>
            <a:ext uri="{FF2B5EF4-FFF2-40B4-BE49-F238E27FC236}">
              <a16:creationId xmlns:a16="http://schemas.microsoft.com/office/drawing/2014/main" id="{00000000-0008-0000-0100-0000B7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6" name="AutoShape 158">
          <a:extLst>
            <a:ext uri="{FF2B5EF4-FFF2-40B4-BE49-F238E27FC236}">
              <a16:creationId xmlns:a16="http://schemas.microsoft.com/office/drawing/2014/main" id="{00000000-0008-0000-0100-0000B8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7" name="AutoShape 249">
          <a:extLst>
            <a:ext uri="{FF2B5EF4-FFF2-40B4-BE49-F238E27FC236}">
              <a16:creationId xmlns:a16="http://schemas.microsoft.com/office/drawing/2014/main" id="{00000000-0008-0000-0100-0000B9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8" name="AutoShape 184">
          <a:extLst>
            <a:ext uri="{FF2B5EF4-FFF2-40B4-BE49-F238E27FC236}">
              <a16:creationId xmlns:a16="http://schemas.microsoft.com/office/drawing/2014/main" id="{00000000-0008-0000-0100-0000BA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79" name="AutoShape 185">
          <a:extLst>
            <a:ext uri="{FF2B5EF4-FFF2-40B4-BE49-F238E27FC236}">
              <a16:creationId xmlns:a16="http://schemas.microsoft.com/office/drawing/2014/main" id="{00000000-0008-0000-0100-0000BB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80" name="AutoShape 186">
          <a:extLst>
            <a:ext uri="{FF2B5EF4-FFF2-40B4-BE49-F238E27FC236}">
              <a16:creationId xmlns:a16="http://schemas.microsoft.com/office/drawing/2014/main" id="{00000000-0008-0000-0100-0000BC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1981" name="AutoShape 187">
          <a:extLst>
            <a:ext uri="{FF2B5EF4-FFF2-40B4-BE49-F238E27FC236}">
              <a16:creationId xmlns:a16="http://schemas.microsoft.com/office/drawing/2014/main" id="{00000000-0008-0000-0100-0000BD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2" name="AutoShape 80">
          <a:extLst>
            <a:ext uri="{FF2B5EF4-FFF2-40B4-BE49-F238E27FC236}">
              <a16:creationId xmlns:a16="http://schemas.microsoft.com/office/drawing/2014/main" id="{00000000-0008-0000-0100-0000BE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3" name="AutoShape 84">
          <a:extLst>
            <a:ext uri="{FF2B5EF4-FFF2-40B4-BE49-F238E27FC236}">
              <a16:creationId xmlns:a16="http://schemas.microsoft.com/office/drawing/2014/main" id="{00000000-0008-0000-0100-0000BF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4" name="AutoShape 157">
          <a:extLst>
            <a:ext uri="{FF2B5EF4-FFF2-40B4-BE49-F238E27FC236}">
              <a16:creationId xmlns:a16="http://schemas.microsoft.com/office/drawing/2014/main" id="{00000000-0008-0000-0100-0000C0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5" name="AutoShape 158">
          <a:extLst>
            <a:ext uri="{FF2B5EF4-FFF2-40B4-BE49-F238E27FC236}">
              <a16:creationId xmlns:a16="http://schemas.microsoft.com/office/drawing/2014/main" id="{00000000-0008-0000-0100-0000C1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6" name="AutoShape 124">
          <a:extLst>
            <a:ext uri="{FF2B5EF4-FFF2-40B4-BE49-F238E27FC236}">
              <a16:creationId xmlns:a16="http://schemas.microsoft.com/office/drawing/2014/main" id="{00000000-0008-0000-0100-0000C2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1987" name="AutoShape 80">
          <a:extLst>
            <a:ext uri="{FF2B5EF4-FFF2-40B4-BE49-F238E27FC236}">
              <a16:creationId xmlns:a16="http://schemas.microsoft.com/office/drawing/2014/main" id="{00000000-0008-0000-0100-0000C3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8" name="AutoShape 84">
          <a:extLst>
            <a:ext uri="{FF2B5EF4-FFF2-40B4-BE49-F238E27FC236}">
              <a16:creationId xmlns:a16="http://schemas.microsoft.com/office/drawing/2014/main" id="{00000000-0008-0000-0100-0000C4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89" name="AutoShape 157">
          <a:extLst>
            <a:ext uri="{FF2B5EF4-FFF2-40B4-BE49-F238E27FC236}">
              <a16:creationId xmlns:a16="http://schemas.microsoft.com/office/drawing/2014/main" id="{00000000-0008-0000-0100-0000C5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0" name="AutoShape 158">
          <a:extLst>
            <a:ext uri="{FF2B5EF4-FFF2-40B4-BE49-F238E27FC236}">
              <a16:creationId xmlns:a16="http://schemas.microsoft.com/office/drawing/2014/main" id="{00000000-0008-0000-0100-0000C6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1" name="AutoShape 249">
          <a:extLst>
            <a:ext uri="{FF2B5EF4-FFF2-40B4-BE49-F238E27FC236}">
              <a16:creationId xmlns:a16="http://schemas.microsoft.com/office/drawing/2014/main" id="{00000000-0008-0000-0100-0000C7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2" name="AutoShape 184">
          <a:extLst>
            <a:ext uri="{FF2B5EF4-FFF2-40B4-BE49-F238E27FC236}">
              <a16:creationId xmlns:a16="http://schemas.microsoft.com/office/drawing/2014/main" id="{00000000-0008-0000-0100-0000C8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3" name="AutoShape 185">
          <a:extLst>
            <a:ext uri="{FF2B5EF4-FFF2-40B4-BE49-F238E27FC236}">
              <a16:creationId xmlns:a16="http://schemas.microsoft.com/office/drawing/2014/main" id="{00000000-0008-0000-0100-0000C9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4" name="AutoShape 186">
          <a:extLst>
            <a:ext uri="{FF2B5EF4-FFF2-40B4-BE49-F238E27FC236}">
              <a16:creationId xmlns:a16="http://schemas.microsoft.com/office/drawing/2014/main" id="{00000000-0008-0000-0100-0000CA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1995" name="AutoShape 187">
          <a:extLst>
            <a:ext uri="{FF2B5EF4-FFF2-40B4-BE49-F238E27FC236}">
              <a16:creationId xmlns:a16="http://schemas.microsoft.com/office/drawing/2014/main" id="{00000000-0008-0000-0100-0000CB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96" name="AutoShape 80">
          <a:extLst>
            <a:ext uri="{FF2B5EF4-FFF2-40B4-BE49-F238E27FC236}">
              <a16:creationId xmlns:a16="http://schemas.microsoft.com/office/drawing/2014/main" id="{00000000-0008-0000-0100-0000CC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97" name="AutoShape 84">
          <a:extLst>
            <a:ext uri="{FF2B5EF4-FFF2-40B4-BE49-F238E27FC236}">
              <a16:creationId xmlns:a16="http://schemas.microsoft.com/office/drawing/2014/main" id="{00000000-0008-0000-0100-0000CD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98" name="AutoShape 157">
          <a:extLst>
            <a:ext uri="{FF2B5EF4-FFF2-40B4-BE49-F238E27FC236}">
              <a16:creationId xmlns:a16="http://schemas.microsoft.com/office/drawing/2014/main" id="{00000000-0008-0000-0100-0000CE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1999" name="AutoShape 158">
          <a:extLst>
            <a:ext uri="{FF2B5EF4-FFF2-40B4-BE49-F238E27FC236}">
              <a16:creationId xmlns:a16="http://schemas.microsoft.com/office/drawing/2014/main" id="{00000000-0008-0000-0100-0000CF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0" name="AutoShape 124">
          <a:extLst>
            <a:ext uri="{FF2B5EF4-FFF2-40B4-BE49-F238E27FC236}">
              <a16:creationId xmlns:a16="http://schemas.microsoft.com/office/drawing/2014/main" id="{00000000-0008-0000-0100-0000D0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2001" name="AutoShape 80">
          <a:extLst>
            <a:ext uri="{FF2B5EF4-FFF2-40B4-BE49-F238E27FC236}">
              <a16:creationId xmlns:a16="http://schemas.microsoft.com/office/drawing/2014/main" id="{00000000-0008-0000-0100-0000D1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2" name="AutoShape 84">
          <a:extLst>
            <a:ext uri="{FF2B5EF4-FFF2-40B4-BE49-F238E27FC236}">
              <a16:creationId xmlns:a16="http://schemas.microsoft.com/office/drawing/2014/main" id="{00000000-0008-0000-0100-0000D2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3" name="AutoShape 157">
          <a:extLst>
            <a:ext uri="{FF2B5EF4-FFF2-40B4-BE49-F238E27FC236}">
              <a16:creationId xmlns:a16="http://schemas.microsoft.com/office/drawing/2014/main" id="{00000000-0008-0000-0100-0000D3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4" name="AutoShape 158">
          <a:extLst>
            <a:ext uri="{FF2B5EF4-FFF2-40B4-BE49-F238E27FC236}">
              <a16:creationId xmlns:a16="http://schemas.microsoft.com/office/drawing/2014/main" id="{00000000-0008-0000-0100-0000D4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5" name="AutoShape 249">
          <a:extLst>
            <a:ext uri="{FF2B5EF4-FFF2-40B4-BE49-F238E27FC236}">
              <a16:creationId xmlns:a16="http://schemas.microsoft.com/office/drawing/2014/main" id="{00000000-0008-0000-0100-0000D5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6" name="AutoShape 184">
          <a:extLst>
            <a:ext uri="{FF2B5EF4-FFF2-40B4-BE49-F238E27FC236}">
              <a16:creationId xmlns:a16="http://schemas.microsoft.com/office/drawing/2014/main" id="{00000000-0008-0000-0100-0000D6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7" name="AutoShape 185">
          <a:extLst>
            <a:ext uri="{FF2B5EF4-FFF2-40B4-BE49-F238E27FC236}">
              <a16:creationId xmlns:a16="http://schemas.microsoft.com/office/drawing/2014/main" id="{00000000-0008-0000-0100-0000D7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8" name="AutoShape 186">
          <a:extLst>
            <a:ext uri="{FF2B5EF4-FFF2-40B4-BE49-F238E27FC236}">
              <a16:creationId xmlns:a16="http://schemas.microsoft.com/office/drawing/2014/main" id="{00000000-0008-0000-0100-0000D80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2009" name="AutoShape 187">
          <a:extLst>
            <a:ext uri="{FF2B5EF4-FFF2-40B4-BE49-F238E27FC236}">
              <a16:creationId xmlns:a16="http://schemas.microsoft.com/office/drawing/2014/main" id="{00000000-0008-0000-0100-0000D90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0" name="AutoShape 80">
          <a:extLst>
            <a:ext uri="{FF2B5EF4-FFF2-40B4-BE49-F238E27FC236}">
              <a16:creationId xmlns:a16="http://schemas.microsoft.com/office/drawing/2014/main" id="{00000000-0008-0000-0100-0000DA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1" name="AutoShape 84">
          <a:extLst>
            <a:ext uri="{FF2B5EF4-FFF2-40B4-BE49-F238E27FC236}">
              <a16:creationId xmlns:a16="http://schemas.microsoft.com/office/drawing/2014/main" id="{00000000-0008-0000-0100-0000DB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2" name="AutoShape 157">
          <a:extLst>
            <a:ext uri="{FF2B5EF4-FFF2-40B4-BE49-F238E27FC236}">
              <a16:creationId xmlns:a16="http://schemas.microsoft.com/office/drawing/2014/main" id="{00000000-0008-0000-0100-0000DC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3" name="AutoShape 158">
          <a:extLst>
            <a:ext uri="{FF2B5EF4-FFF2-40B4-BE49-F238E27FC236}">
              <a16:creationId xmlns:a16="http://schemas.microsoft.com/office/drawing/2014/main" id="{00000000-0008-0000-0100-0000DD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4" name="AutoShape 124">
          <a:extLst>
            <a:ext uri="{FF2B5EF4-FFF2-40B4-BE49-F238E27FC236}">
              <a16:creationId xmlns:a16="http://schemas.microsoft.com/office/drawing/2014/main" id="{00000000-0008-0000-0100-0000DE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2015" name="AutoShape 80">
          <a:extLst>
            <a:ext uri="{FF2B5EF4-FFF2-40B4-BE49-F238E27FC236}">
              <a16:creationId xmlns:a16="http://schemas.microsoft.com/office/drawing/2014/main" id="{00000000-0008-0000-0100-0000DF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6" name="AutoShape 84">
          <a:extLst>
            <a:ext uri="{FF2B5EF4-FFF2-40B4-BE49-F238E27FC236}">
              <a16:creationId xmlns:a16="http://schemas.microsoft.com/office/drawing/2014/main" id="{00000000-0008-0000-0100-0000E0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7" name="AutoShape 157">
          <a:extLst>
            <a:ext uri="{FF2B5EF4-FFF2-40B4-BE49-F238E27FC236}">
              <a16:creationId xmlns:a16="http://schemas.microsoft.com/office/drawing/2014/main" id="{00000000-0008-0000-0100-0000E1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8" name="AutoShape 158">
          <a:extLst>
            <a:ext uri="{FF2B5EF4-FFF2-40B4-BE49-F238E27FC236}">
              <a16:creationId xmlns:a16="http://schemas.microsoft.com/office/drawing/2014/main" id="{00000000-0008-0000-0100-0000E2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19" name="AutoShape 249">
          <a:extLst>
            <a:ext uri="{FF2B5EF4-FFF2-40B4-BE49-F238E27FC236}">
              <a16:creationId xmlns:a16="http://schemas.microsoft.com/office/drawing/2014/main" id="{00000000-0008-0000-0100-0000E3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20" name="AutoShape 184">
          <a:extLst>
            <a:ext uri="{FF2B5EF4-FFF2-40B4-BE49-F238E27FC236}">
              <a16:creationId xmlns:a16="http://schemas.microsoft.com/office/drawing/2014/main" id="{00000000-0008-0000-0100-0000E4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21" name="AutoShape 185">
          <a:extLst>
            <a:ext uri="{FF2B5EF4-FFF2-40B4-BE49-F238E27FC236}">
              <a16:creationId xmlns:a16="http://schemas.microsoft.com/office/drawing/2014/main" id="{00000000-0008-0000-0100-0000E5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22" name="AutoShape 186">
          <a:extLst>
            <a:ext uri="{FF2B5EF4-FFF2-40B4-BE49-F238E27FC236}">
              <a16:creationId xmlns:a16="http://schemas.microsoft.com/office/drawing/2014/main" id="{00000000-0008-0000-0100-0000E60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2023" name="AutoShape 187">
          <a:extLst>
            <a:ext uri="{FF2B5EF4-FFF2-40B4-BE49-F238E27FC236}">
              <a16:creationId xmlns:a16="http://schemas.microsoft.com/office/drawing/2014/main" id="{00000000-0008-0000-0100-0000E70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24" name="AutoShape 80">
          <a:extLst>
            <a:ext uri="{FF2B5EF4-FFF2-40B4-BE49-F238E27FC236}">
              <a16:creationId xmlns:a16="http://schemas.microsoft.com/office/drawing/2014/main" id="{00000000-0008-0000-0100-0000E8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25" name="AutoShape 84">
          <a:extLst>
            <a:ext uri="{FF2B5EF4-FFF2-40B4-BE49-F238E27FC236}">
              <a16:creationId xmlns:a16="http://schemas.microsoft.com/office/drawing/2014/main" id="{00000000-0008-0000-0100-0000E9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26" name="AutoShape 157">
          <a:extLst>
            <a:ext uri="{FF2B5EF4-FFF2-40B4-BE49-F238E27FC236}">
              <a16:creationId xmlns:a16="http://schemas.microsoft.com/office/drawing/2014/main" id="{00000000-0008-0000-0100-0000EA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27" name="AutoShape 158">
          <a:extLst>
            <a:ext uri="{FF2B5EF4-FFF2-40B4-BE49-F238E27FC236}">
              <a16:creationId xmlns:a16="http://schemas.microsoft.com/office/drawing/2014/main" id="{00000000-0008-0000-0100-0000EB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28" name="AutoShape 124">
          <a:extLst>
            <a:ext uri="{FF2B5EF4-FFF2-40B4-BE49-F238E27FC236}">
              <a16:creationId xmlns:a16="http://schemas.microsoft.com/office/drawing/2014/main" id="{00000000-0008-0000-0100-0000EC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2029" name="AutoShape 80">
          <a:extLst>
            <a:ext uri="{FF2B5EF4-FFF2-40B4-BE49-F238E27FC236}">
              <a16:creationId xmlns:a16="http://schemas.microsoft.com/office/drawing/2014/main" id="{00000000-0008-0000-0100-0000ED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0" name="AutoShape 84">
          <a:extLst>
            <a:ext uri="{FF2B5EF4-FFF2-40B4-BE49-F238E27FC236}">
              <a16:creationId xmlns:a16="http://schemas.microsoft.com/office/drawing/2014/main" id="{00000000-0008-0000-0100-0000EE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1" name="AutoShape 157">
          <a:extLst>
            <a:ext uri="{FF2B5EF4-FFF2-40B4-BE49-F238E27FC236}">
              <a16:creationId xmlns:a16="http://schemas.microsoft.com/office/drawing/2014/main" id="{00000000-0008-0000-0100-0000EF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2" name="AutoShape 158">
          <a:extLst>
            <a:ext uri="{FF2B5EF4-FFF2-40B4-BE49-F238E27FC236}">
              <a16:creationId xmlns:a16="http://schemas.microsoft.com/office/drawing/2014/main" id="{00000000-0008-0000-0100-0000F0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3" name="AutoShape 249">
          <a:extLst>
            <a:ext uri="{FF2B5EF4-FFF2-40B4-BE49-F238E27FC236}">
              <a16:creationId xmlns:a16="http://schemas.microsoft.com/office/drawing/2014/main" id="{00000000-0008-0000-0100-0000F1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4" name="AutoShape 184">
          <a:extLst>
            <a:ext uri="{FF2B5EF4-FFF2-40B4-BE49-F238E27FC236}">
              <a16:creationId xmlns:a16="http://schemas.microsoft.com/office/drawing/2014/main" id="{00000000-0008-0000-0100-0000F2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5" name="AutoShape 185">
          <a:extLst>
            <a:ext uri="{FF2B5EF4-FFF2-40B4-BE49-F238E27FC236}">
              <a16:creationId xmlns:a16="http://schemas.microsoft.com/office/drawing/2014/main" id="{00000000-0008-0000-0100-0000F3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6" name="AutoShape 186">
          <a:extLst>
            <a:ext uri="{FF2B5EF4-FFF2-40B4-BE49-F238E27FC236}">
              <a16:creationId xmlns:a16="http://schemas.microsoft.com/office/drawing/2014/main" id="{00000000-0008-0000-0100-0000F40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37" name="AutoShape 187">
          <a:extLst>
            <a:ext uri="{FF2B5EF4-FFF2-40B4-BE49-F238E27FC236}">
              <a16:creationId xmlns:a16="http://schemas.microsoft.com/office/drawing/2014/main" id="{00000000-0008-0000-0100-0000F50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38" name="AutoShape 80">
          <a:extLst>
            <a:ext uri="{FF2B5EF4-FFF2-40B4-BE49-F238E27FC236}">
              <a16:creationId xmlns:a16="http://schemas.microsoft.com/office/drawing/2014/main" id="{00000000-0008-0000-0100-0000F6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39" name="AutoShape 84">
          <a:extLst>
            <a:ext uri="{FF2B5EF4-FFF2-40B4-BE49-F238E27FC236}">
              <a16:creationId xmlns:a16="http://schemas.microsoft.com/office/drawing/2014/main" id="{00000000-0008-0000-0100-0000F7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0" name="AutoShape 157">
          <a:extLst>
            <a:ext uri="{FF2B5EF4-FFF2-40B4-BE49-F238E27FC236}">
              <a16:creationId xmlns:a16="http://schemas.microsoft.com/office/drawing/2014/main" id="{00000000-0008-0000-0100-0000F8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1" name="AutoShape 158">
          <a:extLst>
            <a:ext uri="{FF2B5EF4-FFF2-40B4-BE49-F238E27FC236}">
              <a16:creationId xmlns:a16="http://schemas.microsoft.com/office/drawing/2014/main" id="{00000000-0008-0000-0100-0000F9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2" name="AutoShape 124">
          <a:extLst>
            <a:ext uri="{FF2B5EF4-FFF2-40B4-BE49-F238E27FC236}">
              <a16:creationId xmlns:a16="http://schemas.microsoft.com/office/drawing/2014/main" id="{00000000-0008-0000-0100-0000FA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2043" name="AutoShape 80">
          <a:extLst>
            <a:ext uri="{FF2B5EF4-FFF2-40B4-BE49-F238E27FC236}">
              <a16:creationId xmlns:a16="http://schemas.microsoft.com/office/drawing/2014/main" id="{00000000-0008-0000-0100-0000FB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4" name="AutoShape 84">
          <a:extLst>
            <a:ext uri="{FF2B5EF4-FFF2-40B4-BE49-F238E27FC236}">
              <a16:creationId xmlns:a16="http://schemas.microsoft.com/office/drawing/2014/main" id="{00000000-0008-0000-0100-0000FC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5" name="AutoShape 157">
          <a:extLst>
            <a:ext uri="{FF2B5EF4-FFF2-40B4-BE49-F238E27FC236}">
              <a16:creationId xmlns:a16="http://schemas.microsoft.com/office/drawing/2014/main" id="{00000000-0008-0000-0100-0000FD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6" name="AutoShape 158">
          <a:extLst>
            <a:ext uri="{FF2B5EF4-FFF2-40B4-BE49-F238E27FC236}">
              <a16:creationId xmlns:a16="http://schemas.microsoft.com/office/drawing/2014/main" id="{00000000-0008-0000-0100-0000FE0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7" name="AutoShape 249">
          <a:extLst>
            <a:ext uri="{FF2B5EF4-FFF2-40B4-BE49-F238E27FC236}">
              <a16:creationId xmlns:a16="http://schemas.microsoft.com/office/drawing/2014/main" id="{00000000-0008-0000-0100-0000FF0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8" name="AutoShape 184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49" name="AutoShape 185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50" name="AutoShape 186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51" name="AutoShape 187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2" name="AutoShape 80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3" name="AutoShape 84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4" name="AutoShape 157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5" name="AutoShape 158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6" name="AutoShape 124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2057" name="AutoShape 80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8" name="AutoShape 84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59" name="AutoShape 157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0" name="AutoShape 158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1" name="AutoShape 249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2" name="AutoShape 184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3" name="AutoShape 185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4" name="AutoShape 186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065" name="AutoShape 187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66" name="AutoShape 80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67" name="AutoShape 84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68" name="AutoShape 157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69" name="AutoShape 158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0" name="AutoShape 124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2071" name="AutoShape 80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2" name="AutoShape 84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3" name="AutoShape 157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4" name="AutoShape 158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5" name="AutoShape 249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6" name="AutoShape 184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7" name="AutoShape 185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8" name="AutoShape 186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079" name="AutoShape 187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0" name="AutoShape 80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1" name="AutoShape 84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2" name="AutoShape 157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3" name="AutoShape 158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4" name="AutoShape 124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2085" name="AutoShape 80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6" name="AutoShape 84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7" name="AutoShape 157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8" name="AutoShape 158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89" name="AutoShape 249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90" name="AutoShape 184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91" name="AutoShape 185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92" name="AutoShape 186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2093" name="AutoShape 187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94" name="AutoShape 80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95" name="AutoShape 84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96" name="AutoShape 157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97" name="AutoShape 158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098" name="AutoShape 124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2099" name="AutoShape 80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0" name="AutoShape 84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1" name="AutoShape 157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2" name="AutoShape 158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3" name="AutoShape 249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4" name="AutoShape 184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5" name="AutoShape 185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6" name="AutoShape 186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2107" name="AutoShape 187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08" name="AutoShape 80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09" name="AutoShape 84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0" name="AutoShape 157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1" name="AutoShape 158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2" name="AutoShape 124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2113" name="AutoShape 80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4" name="AutoShape 84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5" name="AutoShape 157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6" name="AutoShape 158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7" name="AutoShape 249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8" name="AutoShape 184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19" name="AutoShape 185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20" name="AutoShape 186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2121" name="AutoShape 187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2" name="AutoShape 80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3" name="AutoShape 84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4" name="AutoShape 157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5" name="AutoShape 158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6" name="AutoShape 124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2127" name="AutoShape 80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8" name="AutoShape 84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29" name="AutoShape 157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0" name="AutoShape 158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1" name="AutoShape 249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2" name="AutoShape 184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3" name="AutoShape 185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4" name="AutoShape 186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2135" name="AutoShape 187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36" name="AutoShape 80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37" name="AutoShape 84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38" name="AutoShape 157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39" name="AutoShape 158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0" name="AutoShape 124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2141" name="AutoShape 80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2" name="AutoShape 84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3" name="AutoShape 157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4" name="AutoShape 158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5" name="AutoShape 249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6" name="AutoShape 184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7" name="AutoShape 185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8" name="AutoShape 186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49" name="AutoShape 187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0" name="AutoShape 80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1" name="AutoShape 84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2" name="AutoShape 157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3" name="AutoShape 158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4" name="AutoShape 124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2155" name="AutoShape 80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6" name="AutoShape 84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7" name="AutoShape 157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8" name="AutoShape 158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59" name="AutoShape 249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60" name="AutoShape 18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61" name="AutoShape 185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62" name="AutoShape 186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163" name="AutoShape 187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64" name="AutoShape 80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65" name="AutoShape 84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66" name="AutoShape 157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67" name="AutoShape 158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68" name="AutoShape 124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2169" name="AutoShape 80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0" name="AutoShape 84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1" name="AutoShape 157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2" name="AutoShape 158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3" name="AutoShape 249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4" name="AutoShape 184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5" name="AutoShape 185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6" name="AutoShape 186">
          <a:extLst>
            <a:ext uri="{FF2B5EF4-FFF2-40B4-BE49-F238E27FC236}">
              <a16:creationId xmlns:a16="http://schemas.microsoft.com/office/drawing/2014/main" id="{00000000-0008-0000-0100-000080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177" name="AutoShape 187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78" name="AutoShape 80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79" name="AutoShape 84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0" name="AutoShape 157">
          <a:extLst>
            <a:ext uri="{FF2B5EF4-FFF2-40B4-BE49-F238E27FC236}">
              <a16:creationId xmlns:a16="http://schemas.microsoft.com/office/drawing/2014/main" id="{00000000-0008-0000-0100-000084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1" name="AutoShape 158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2" name="AutoShape 124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2183" name="AutoShape 80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4" name="AutoShape 84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5" name="AutoShape 157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6" name="AutoShape 158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7" name="AutoShape 249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8" name="AutoShape 184">
          <a:extLst>
            <a:ext uri="{FF2B5EF4-FFF2-40B4-BE49-F238E27FC236}">
              <a16:creationId xmlns:a16="http://schemas.microsoft.com/office/drawing/2014/main" id="{00000000-0008-0000-0100-00008C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89" name="AutoShape 185">
          <a:extLst>
            <a:ext uri="{FF2B5EF4-FFF2-40B4-BE49-F238E27FC236}">
              <a16:creationId xmlns:a16="http://schemas.microsoft.com/office/drawing/2014/main" id="{00000000-0008-0000-0100-00008D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90" name="AutoShape 186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191" name="AutoShape 187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2" name="AutoShape 80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3" name="AutoShape 84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4" name="AutoShape 157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5" name="AutoShape 158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6" name="AutoShape 124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2197" name="AutoShape 80">
          <a:extLst>
            <a:ext uri="{FF2B5EF4-FFF2-40B4-BE49-F238E27FC236}">
              <a16:creationId xmlns:a16="http://schemas.microsoft.com/office/drawing/2014/main" id="{00000000-0008-0000-0100-000095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8" name="AutoShape 84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199" name="AutoShape 157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0" name="AutoShape 158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1" name="AutoShape 249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2" name="AutoShape 184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3" name="AutoShape 185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4" name="AutoShape 186">
          <a:extLst>
            <a:ext uri="{FF2B5EF4-FFF2-40B4-BE49-F238E27FC236}">
              <a16:creationId xmlns:a16="http://schemas.microsoft.com/office/drawing/2014/main" id="{00000000-0008-0000-0100-00009C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2205" name="AutoShape 187">
          <a:extLst>
            <a:ext uri="{FF2B5EF4-FFF2-40B4-BE49-F238E27FC236}">
              <a16:creationId xmlns:a16="http://schemas.microsoft.com/office/drawing/2014/main" id="{00000000-0008-0000-0100-00009D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06" name="AutoShape 80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07" name="AutoShape 84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08" name="AutoShape 157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09" name="AutoShape 158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0" name="AutoShape 124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2211" name="AutoShape 80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2" name="AutoShape 84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3" name="AutoShape 157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4" name="AutoShape 158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5" name="AutoShape 249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6" name="AutoShape 184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7" name="AutoShape 185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8" name="AutoShape 186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2219" name="AutoShape 187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0" name="AutoShape 80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1" name="AutoShape 84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2" name="AutoShape 157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3" name="AutoShape 158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4" name="AutoShape 124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2225" name="AutoShape 80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6" name="AutoShape 84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7" name="AutoShape 157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8" name="AutoShape 158">
          <a:extLst>
            <a:ext uri="{FF2B5EF4-FFF2-40B4-BE49-F238E27FC236}">
              <a16:creationId xmlns:a16="http://schemas.microsoft.com/office/drawing/2014/main" id="{00000000-0008-0000-0100-0000B4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29" name="AutoShape 249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30" name="AutoShape 184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31" name="AutoShape 185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32" name="AutoShape 186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2233" name="AutoShape 187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34" name="AutoShape 80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35" name="AutoShape 84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36" name="AutoShape 157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37" name="AutoShape 158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38" name="AutoShape 124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2239" name="AutoShape 80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0" name="AutoShape 84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1" name="AutoShape 157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2" name="AutoShape 158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3" name="AutoShape 249">
          <a:extLst>
            <a:ext uri="{FF2B5EF4-FFF2-40B4-BE49-F238E27FC236}">
              <a16:creationId xmlns:a16="http://schemas.microsoft.com/office/drawing/2014/main" id="{00000000-0008-0000-0100-0000C3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4" name="AutoShape 184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5" name="AutoShape 185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6" name="AutoShape 186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247" name="AutoShape 187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48" name="AutoShape 80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49" name="AutoShape 84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0" name="AutoShape 157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1" name="AutoShape 158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2" name="AutoShape 124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2253" name="AutoShape 80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4" name="AutoShape 84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5" name="AutoShape 157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6" name="AutoShape 158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7" name="AutoShape 249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8" name="AutoShape 184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59" name="AutoShape 185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60" name="AutoShape 186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261" name="AutoShape 187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2" name="AutoShape 80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3" name="AutoShape 84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4" name="AutoShape 157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5" name="AutoShape 158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6" name="AutoShape 124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2267" name="AutoShape 80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8" name="AutoShape 84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69" name="AutoShape 157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0" name="AutoShape 158">
          <a:extLst>
            <a:ext uri="{FF2B5EF4-FFF2-40B4-BE49-F238E27FC236}">
              <a16:creationId xmlns:a16="http://schemas.microsoft.com/office/drawing/2014/main" id="{00000000-0008-0000-0100-0000DE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1" name="AutoShape 249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2" name="AutoShape 184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3" name="AutoShape 185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4" name="AutoShape 186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275" name="AutoShape 187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76" name="AutoShape 80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77" name="AutoShape 84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78" name="AutoShape 157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79" name="AutoShape 158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0" name="AutoShape 124">
          <a:extLst>
            <a:ext uri="{FF2B5EF4-FFF2-40B4-BE49-F238E27FC236}">
              <a16:creationId xmlns:a16="http://schemas.microsoft.com/office/drawing/2014/main" id="{00000000-0008-0000-0100-0000E8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2281" name="AutoShape 80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2" name="AutoShape 84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3" name="AutoShape 157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4" name="AutoShape 158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5" name="AutoShape 249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6" name="AutoShape 184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7" name="AutoShape 185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8" name="AutoShape 186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289" name="AutoShape 187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0" name="AutoShape 80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1" name="AutoShape 84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2" name="AutoShape 157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3" name="AutoShape 158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4" name="AutoShape 124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2295" name="AutoShape 80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6" name="AutoShape 84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7" name="AutoShape 157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8" name="AutoShape 158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299" name="AutoShape 249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00" name="AutoShape 184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01" name="AutoShape 185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02" name="AutoShape 186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03" name="AutoShape 187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04" name="AutoShape 80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05" name="AutoShape 84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06" name="AutoShape 157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07" name="AutoShape 158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08" name="AutoShape 124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2309" name="AutoShape 80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0" name="AutoShape 84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1" name="AutoShape 157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2" name="AutoShape 158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3" name="AutoShape 249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4" name="AutoShape 184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5" name="AutoShape 185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6" name="AutoShape 186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2317" name="AutoShape 187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18" name="AutoShape 80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19" name="AutoShape 84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0" name="AutoShape 157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1" name="AutoShape 158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2" name="AutoShape 124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2323" name="AutoShape 80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4" name="AutoShape 84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5" name="AutoShape 157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6" name="AutoShape 158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7" name="AutoShape 249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8" name="AutoShape 184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29" name="AutoShape 185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30" name="AutoShape 186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2331" name="AutoShape 187">
          <a:extLst>
            <a:ext uri="{FF2B5EF4-FFF2-40B4-BE49-F238E27FC236}">
              <a16:creationId xmlns:a16="http://schemas.microsoft.com/office/drawing/2014/main" id="{00000000-0008-0000-0100-00001B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2" name="AutoShape 80">
          <a:extLst>
            <a:ext uri="{FF2B5EF4-FFF2-40B4-BE49-F238E27FC236}">
              <a16:creationId xmlns:a16="http://schemas.microsoft.com/office/drawing/2014/main" id="{00000000-0008-0000-0100-00001C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3" name="AutoShape 84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4" name="AutoShape 157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5" name="AutoShape 158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6" name="AutoShape 124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2337" name="AutoShape 80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8" name="AutoShape 84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39" name="AutoShape 157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0" name="AutoShape 158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1" name="AutoShape 249">
          <a:extLst>
            <a:ext uri="{FF2B5EF4-FFF2-40B4-BE49-F238E27FC236}">
              <a16:creationId xmlns:a16="http://schemas.microsoft.com/office/drawing/2014/main" id="{00000000-0008-0000-0100-000025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2" name="AutoShape 184">
          <a:extLst>
            <a:ext uri="{FF2B5EF4-FFF2-40B4-BE49-F238E27FC236}">
              <a16:creationId xmlns:a16="http://schemas.microsoft.com/office/drawing/2014/main" id="{00000000-0008-0000-0100-000026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3" name="AutoShape 185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4" name="AutoShape 186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2345" name="AutoShape 187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46" name="AutoShape 80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47" name="AutoShape 84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48" name="AutoShape 157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49" name="AutoShape 158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0" name="AutoShape 124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2351" name="AutoShape 80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2" name="AutoShape 84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3" name="AutoShape 157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4" name="AutoShape 158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5" name="AutoShape 249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6" name="AutoShape 184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7" name="AutoShape 185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8" name="AutoShape 186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2359" name="AutoShape 187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0" name="AutoShape 80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1" name="AutoShape 84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2" name="AutoShape 157">
          <a:extLst>
            <a:ext uri="{FF2B5EF4-FFF2-40B4-BE49-F238E27FC236}">
              <a16:creationId xmlns:a16="http://schemas.microsoft.com/office/drawing/2014/main" id="{00000000-0008-0000-0100-00003A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3" name="AutoShape 158">
          <a:extLst>
            <a:ext uri="{FF2B5EF4-FFF2-40B4-BE49-F238E27FC236}">
              <a16:creationId xmlns:a16="http://schemas.microsoft.com/office/drawing/2014/main" id="{00000000-0008-0000-0100-00003B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4" name="AutoShape 124">
          <a:extLst>
            <a:ext uri="{FF2B5EF4-FFF2-40B4-BE49-F238E27FC236}">
              <a16:creationId xmlns:a16="http://schemas.microsoft.com/office/drawing/2014/main" id="{00000000-0008-0000-0100-00003C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2365" name="AutoShape 80">
          <a:extLst>
            <a:ext uri="{FF2B5EF4-FFF2-40B4-BE49-F238E27FC236}">
              <a16:creationId xmlns:a16="http://schemas.microsoft.com/office/drawing/2014/main" id="{00000000-0008-0000-0100-00003D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6" name="AutoShape 84">
          <a:extLst>
            <a:ext uri="{FF2B5EF4-FFF2-40B4-BE49-F238E27FC236}">
              <a16:creationId xmlns:a16="http://schemas.microsoft.com/office/drawing/2014/main" id="{00000000-0008-0000-0100-00003E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7" name="AutoShape 157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8" name="AutoShape 158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69" name="AutoShape 249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70" name="AutoShape 184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71" name="AutoShape 185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72" name="AutoShape 186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373" name="AutoShape 187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74" name="AutoShape 80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75" name="AutoShape 84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76" name="AutoShape 157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77" name="AutoShape 158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78" name="AutoShape 124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2379" name="AutoShape 80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0" name="AutoShape 84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1" name="AutoShape 157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2" name="AutoShape 158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3" name="AutoShape 249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4" name="AutoShape 184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5" name="AutoShape 185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6" name="AutoShape 186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387" name="AutoShape 187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88" name="AutoShape 80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89" name="AutoShape 84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0" name="AutoShape 157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1" name="AutoShape 158">
          <a:extLst>
            <a:ext uri="{FF2B5EF4-FFF2-40B4-BE49-F238E27FC236}">
              <a16:creationId xmlns:a16="http://schemas.microsoft.com/office/drawing/2014/main" id="{00000000-0008-0000-0100-000057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2" name="AutoShape 124">
          <a:extLst>
            <a:ext uri="{FF2B5EF4-FFF2-40B4-BE49-F238E27FC236}">
              <a16:creationId xmlns:a16="http://schemas.microsoft.com/office/drawing/2014/main" id="{00000000-0008-0000-0100-000058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2393" name="AutoShape 80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4" name="AutoShape 84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5" name="AutoShape 157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6" name="AutoShape 158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7" name="AutoShape 249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8" name="AutoShape 184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399" name="AutoShape 185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00" name="AutoShape 186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01" name="AutoShape 187">
          <a:extLst>
            <a:ext uri="{FF2B5EF4-FFF2-40B4-BE49-F238E27FC236}">
              <a16:creationId xmlns:a16="http://schemas.microsoft.com/office/drawing/2014/main" id="{00000000-0008-0000-0100-000061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2" name="AutoShape 80">
          <a:extLst>
            <a:ext uri="{FF2B5EF4-FFF2-40B4-BE49-F238E27FC236}">
              <a16:creationId xmlns:a16="http://schemas.microsoft.com/office/drawing/2014/main" id="{00000000-0008-0000-0100-000062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3" name="AutoShape 84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4" name="AutoShape 157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5" name="AutoShape 158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6" name="AutoShape 124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2407" name="AutoShape 80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8" name="AutoShape 84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09" name="AutoShape 157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0" name="AutoShape 158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1" name="AutoShape 249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2" name="AutoShape 184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3" name="AutoShape 185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4" name="AutoShape 186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15" name="AutoShape 187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16" name="AutoShape 80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17" name="AutoShape 84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18" name="AutoShape 157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19" name="AutoShape 158">
          <a:extLst>
            <a:ext uri="{FF2B5EF4-FFF2-40B4-BE49-F238E27FC236}">
              <a16:creationId xmlns:a16="http://schemas.microsoft.com/office/drawing/2014/main" id="{00000000-0008-0000-0100-000073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0" name="AutoShape 124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2421" name="AutoShape 80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2" name="AutoShape 84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3" name="AutoShape 157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4" name="AutoShape 158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5" name="AutoShape 249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6" name="AutoShape 184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7" name="AutoShape 185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8" name="AutoShape 186">
          <a:extLst>
            <a:ext uri="{FF2B5EF4-FFF2-40B4-BE49-F238E27FC236}">
              <a16:creationId xmlns:a16="http://schemas.microsoft.com/office/drawing/2014/main" id="{00000000-0008-0000-0100-00007C09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429" name="AutoShape 187">
          <a:extLst>
            <a:ext uri="{FF2B5EF4-FFF2-40B4-BE49-F238E27FC236}">
              <a16:creationId xmlns:a16="http://schemas.microsoft.com/office/drawing/2014/main" id="{00000000-0008-0000-0100-00007D09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0" name="AutoShape 80">
          <a:extLst>
            <a:ext uri="{FF2B5EF4-FFF2-40B4-BE49-F238E27FC236}">
              <a16:creationId xmlns:a16="http://schemas.microsoft.com/office/drawing/2014/main" id="{00000000-0008-0000-0100-00007E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1" name="AutoShape 84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2" name="AutoShape 157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3" name="AutoShape 158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4" name="AutoShape 124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2435" name="AutoShape 80">
          <a:extLst>
            <a:ext uri="{FF2B5EF4-FFF2-40B4-BE49-F238E27FC236}">
              <a16:creationId xmlns:a16="http://schemas.microsoft.com/office/drawing/2014/main" id="{00000000-0008-0000-0100-000083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6" name="AutoShape 84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7" name="AutoShape 157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8" name="AutoShape 158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39" name="AutoShape 249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40" name="AutoShape 184">
          <a:extLst>
            <a:ext uri="{FF2B5EF4-FFF2-40B4-BE49-F238E27FC236}">
              <a16:creationId xmlns:a16="http://schemas.microsoft.com/office/drawing/2014/main" id="{00000000-0008-0000-0100-000088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41" name="AutoShape 185">
          <a:extLst>
            <a:ext uri="{FF2B5EF4-FFF2-40B4-BE49-F238E27FC236}">
              <a16:creationId xmlns:a16="http://schemas.microsoft.com/office/drawing/2014/main" id="{00000000-0008-0000-0100-000089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42" name="AutoShape 186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2443" name="AutoShape 187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44" name="AutoShape 80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45" name="AutoShape 84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46" name="AutoShape 157">
          <a:extLst>
            <a:ext uri="{FF2B5EF4-FFF2-40B4-BE49-F238E27FC236}">
              <a16:creationId xmlns:a16="http://schemas.microsoft.com/office/drawing/2014/main" id="{00000000-0008-0000-0100-00008E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47" name="AutoShape 158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48" name="AutoShape 124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2449" name="AutoShape 80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0" name="AutoShape 84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1" name="AutoShape 157">
          <a:extLst>
            <a:ext uri="{FF2B5EF4-FFF2-40B4-BE49-F238E27FC236}">
              <a16:creationId xmlns:a16="http://schemas.microsoft.com/office/drawing/2014/main" id="{00000000-0008-0000-0100-000093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2" name="AutoShape 158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3" name="AutoShape 249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4" name="AutoShape 184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5" name="AutoShape 185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6" name="AutoShape 186">
          <a:extLst>
            <a:ext uri="{FF2B5EF4-FFF2-40B4-BE49-F238E27FC236}">
              <a16:creationId xmlns:a16="http://schemas.microsoft.com/office/drawing/2014/main" id="{00000000-0008-0000-0100-00009809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2457" name="AutoShape 187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58" name="AutoShape 80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59" name="AutoShape 84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0" name="AutoShape 157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1" name="AutoShape 158">
          <a:extLst>
            <a:ext uri="{FF2B5EF4-FFF2-40B4-BE49-F238E27FC236}">
              <a16:creationId xmlns:a16="http://schemas.microsoft.com/office/drawing/2014/main" id="{00000000-0008-0000-0100-00009D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2" name="AutoShape 124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2463" name="AutoShape 80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4" name="AutoShape 84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5" name="AutoShape 157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6" name="AutoShape 158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7" name="AutoShape 249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8" name="AutoShape 184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69" name="AutoShape 185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70" name="AutoShape 186">
          <a:extLst>
            <a:ext uri="{FF2B5EF4-FFF2-40B4-BE49-F238E27FC236}">
              <a16:creationId xmlns:a16="http://schemas.microsoft.com/office/drawing/2014/main" id="{00000000-0008-0000-0100-0000A609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2471" name="AutoShape 187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2" name="AutoShape 80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3" name="AutoShape 84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4" name="AutoShape 157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5" name="AutoShape 158">
          <a:extLst>
            <a:ext uri="{FF2B5EF4-FFF2-40B4-BE49-F238E27FC236}">
              <a16:creationId xmlns:a16="http://schemas.microsoft.com/office/drawing/2014/main" id="{00000000-0008-0000-0100-0000AB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6" name="AutoShape 124">
          <a:extLst>
            <a:ext uri="{FF2B5EF4-FFF2-40B4-BE49-F238E27FC236}">
              <a16:creationId xmlns:a16="http://schemas.microsoft.com/office/drawing/2014/main" id="{00000000-0008-0000-0100-0000AC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2477" name="AutoShape 80">
          <a:extLst>
            <a:ext uri="{FF2B5EF4-FFF2-40B4-BE49-F238E27FC236}">
              <a16:creationId xmlns:a16="http://schemas.microsoft.com/office/drawing/2014/main" id="{00000000-0008-0000-0100-0000AD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8" name="AutoShape 84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79" name="AutoShape 157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0" name="AutoShape 158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1" name="AutoShape 249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2" name="AutoShape 184">
          <a:extLst>
            <a:ext uri="{FF2B5EF4-FFF2-40B4-BE49-F238E27FC236}">
              <a16:creationId xmlns:a16="http://schemas.microsoft.com/office/drawing/2014/main" id="{00000000-0008-0000-0100-0000B2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3" name="AutoShape 185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4" name="AutoShape 186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5" name="AutoShape 187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6" name="AutoShape 80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7" name="AutoShape 84">
          <a:extLst>
            <a:ext uri="{FF2B5EF4-FFF2-40B4-BE49-F238E27FC236}">
              <a16:creationId xmlns:a16="http://schemas.microsoft.com/office/drawing/2014/main" id="{00000000-0008-0000-0100-0000B7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8" name="AutoShape 157">
          <a:extLst>
            <a:ext uri="{FF2B5EF4-FFF2-40B4-BE49-F238E27FC236}">
              <a16:creationId xmlns:a16="http://schemas.microsoft.com/office/drawing/2014/main" id="{00000000-0008-0000-0100-0000B8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89" name="AutoShape 158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0" name="AutoShape 124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2491" name="AutoShape 80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2" name="AutoShape 84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3" name="AutoShape 157">
          <a:extLst>
            <a:ext uri="{FF2B5EF4-FFF2-40B4-BE49-F238E27FC236}">
              <a16:creationId xmlns:a16="http://schemas.microsoft.com/office/drawing/2014/main" id="{00000000-0008-0000-0100-0000BD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4" name="AutoShape 158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5" name="AutoShape 249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6" name="AutoShape 184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7" name="AutoShape 185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8" name="AutoShape 186">
          <a:extLst>
            <a:ext uri="{FF2B5EF4-FFF2-40B4-BE49-F238E27FC236}">
              <a16:creationId xmlns:a16="http://schemas.microsoft.com/office/drawing/2014/main" id="{00000000-0008-0000-0100-0000C2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499" name="AutoShape 187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0" name="AutoShape 80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1" name="AutoShape 84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2" name="AutoShape 157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3" name="AutoShape 158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4" name="AutoShape 124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2505" name="AutoShape 80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6" name="AutoShape 84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7" name="AutoShape 157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8" name="AutoShape 158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09" name="AutoShape 249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10" name="AutoShape 184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11" name="AutoShape 185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12" name="AutoShape 186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>
          <a:spLocks noChangeArrowheads="1"/>
        </xdr:cNvSpPr>
      </xdr:nvSpPr>
      <xdr:spPr>
        <a:xfrm>
          <a:off x="9204512" y="4857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2513" name="AutoShape 187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>
          <a:spLocks noChangeArrowheads="1"/>
        </xdr:cNvSpPr>
      </xdr:nvSpPr>
      <xdr:spPr>
        <a:xfrm>
          <a:off x="9185462" y="4857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0" name="AutoShape 80">
          <a:extLst>
            <a:ext uri="{FF2B5EF4-FFF2-40B4-BE49-F238E27FC236}">
              <a16:creationId xmlns:a16="http://schemas.microsoft.com/office/drawing/2014/main" id="{00000000-0008-0000-0100-00006C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1" name="AutoShape 84">
          <a:extLst>
            <a:ext uri="{FF2B5EF4-FFF2-40B4-BE49-F238E27FC236}">
              <a16:creationId xmlns:a16="http://schemas.microsoft.com/office/drawing/2014/main" id="{00000000-0008-0000-0100-00006D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2" name="AutoShape 157">
          <a:extLst>
            <a:ext uri="{FF2B5EF4-FFF2-40B4-BE49-F238E27FC236}">
              <a16:creationId xmlns:a16="http://schemas.microsoft.com/office/drawing/2014/main" id="{00000000-0008-0000-0100-00006E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3" name="AutoShape 158">
          <a:extLst>
            <a:ext uri="{FF2B5EF4-FFF2-40B4-BE49-F238E27FC236}">
              <a16:creationId xmlns:a16="http://schemas.microsoft.com/office/drawing/2014/main" id="{00000000-0008-0000-0100-00006F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4" name="AutoShape 124">
          <a:extLst>
            <a:ext uri="{FF2B5EF4-FFF2-40B4-BE49-F238E27FC236}">
              <a16:creationId xmlns:a16="http://schemas.microsoft.com/office/drawing/2014/main" id="{00000000-0008-0000-0100-000070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465" name="AutoShape 80">
          <a:extLst>
            <a:ext uri="{FF2B5EF4-FFF2-40B4-BE49-F238E27FC236}">
              <a16:creationId xmlns:a16="http://schemas.microsoft.com/office/drawing/2014/main" id="{00000000-0008-0000-0100-000071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6" name="AutoShape 84">
          <a:extLst>
            <a:ext uri="{FF2B5EF4-FFF2-40B4-BE49-F238E27FC236}">
              <a16:creationId xmlns:a16="http://schemas.microsoft.com/office/drawing/2014/main" id="{00000000-0008-0000-0100-000072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7" name="AutoShape 157">
          <a:extLst>
            <a:ext uri="{FF2B5EF4-FFF2-40B4-BE49-F238E27FC236}">
              <a16:creationId xmlns:a16="http://schemas.microsoft.com/office/drawing/2014/main" id="{00000000-0008-0000-0100-000073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8" name="AutoShape 158">
          <a:extLst>
            <a:ext uri="{FF2B5EF4-FFF2-40B4-BE49-F238E27FC236}">
              <a16:creationId xmlns:a16="http://schemas.microsoft.com/office/drawing/2014/main" id="{00000000-0008-0000-0100-000074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69" name="AutoShape 249">
          <a:extLst>
            <a:ext uri="{FF2B5EF4-FFF2-40B4-BE49-F238E27FC236}">
              <a16:creationId xmlns:a16="http://schemas.microsoft.com/office/drawing/2014/main" id="{00000000-0008-0000-0100-000075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70" name="AutoShape 184">
          <a:extLst>
            <a:ext uri="{FF2B5EF4-FFF2-40B4-BE49-F238E27FC236}">
              <a16:creationId xmlns:a16="http://schemas.microsoft.com/office/drawing/2014/main" id="{00000000-0008-0000-0100-000076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71" name="AutoShape 185">
          <a:extLst>
            <a:ext uri="{FF2B5EF4-FFF2-40B4-BE49-F238E27FC236}">
              <a16:creationId xmlns:a16="http://schemas.microsoft.com/office/drawing/2014/main" id="{00000000-0008-0000-0100-000077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72" name="AutoShape 186">
          <a:extLst>
            <a:ext uri="{FF2B5EF4-FFF2-40B4-BE49-F238E27FC236}">
              <a16:creationId xmlns:a16="http://schemas.microsoft.com/office/drawing/2014/main" id="{00000000-0008-0000-0100-000078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473" name="AutoShape 187">
          <a:extLst>
            <a:ext uri="{FF2B5EF4-FFF2-40B4-BE49-F238E27FC236}">
              <a16:creationId xmlns:a16="http://schemas.microsoft.com/office/drawing/2014/main" id="{00000000-0008-0000-0100-000079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74" name="AutoShape 80">
          <a:extLst>
            <a:ext uri="{FF2B5EF4-FFF2-40B4-BE49-F238E27FC236}">
              <a16:creationId xmlns:a16="http://schemas.microsoft.com/office/drawing/2014/main" id="{00000000-0008-0000-0100-00007A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75" name="AutoShape 84">
          <a:extLst>
            <a:ext uri="{FF2B5EF4-FFF2-40B4-BE49-F238E27FC236}">
              <a16:creationId xmlns:a16="http://schemas.microsoft.com/office/drawing/2014/main" id="{00000000-0008-0000-0100-00007B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76" name="AutoShape 157">
          <a:extLst>
            <a:ext uri="{FF2B5EF4-FFF2-40B4-BE49-F238E27FC236}">
              <a16:creationId xmlns:a16="http://schemas.microsoft.com/office/drawing/2014/main" id="{00000000-0008-0000-0100-00007C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77" name="AutoShape 158">
          <a:extLst>
            <a:ext uri="{FF2B5EF4-FFF2-40B4-BE49-F238E27FC236}">
              <a16:creationId xmlns:a16="http://schemas.microsoft.com/office/drawing/2014/main" id="{00000000-0008-0000-0100-00007D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78" name="AutoShape 124">
          <a:extLst>
            <a:ext uri="{FF2B5EF4-FFF2-40B4-BE49-F238E27FC236}">
              <a16:creationId xmlns:a16="http://schemas.microsoft.com/office/drawing/2014/main" id="{00000000-0008-0000-0100-00007E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479" name="AutoShape 80">
          <a:extLst>
            <a:ext uri="{FF2B5EF4-FFF2-40B4-BE49-F238E27FC236}">
              <a16:creationId xmlns:a16="http://schemas.microsoft.com/office/drawing/2014/main" id="{00000000-0008-0000-0100-00007F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0" name="AutoShape 84">
          <a:extLst>
            <a:ext uri="{FF2B5EF4-FFF2-40B4-BE49-F238E27FC236}">
              <a16:creationId xmlns:a16="http://schemas.microsoft.com/office/drawing/2014/main" id="{00000000-0008-0000-0100-000080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1" name="AutoShape 157">
          <a:extLst>
            <a:ext uri="{FF2B5EF4-FFF2-40B4-BE49-F238E27FC236}">
              <a16:creationId xmlns:a16="http://schemas.microsoft.com/office/drawing/2014/main" id="{00000000-0008-0000-0100-000081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2" name="AutoShape 158">
          <a:extLst>
            <a:ext uri="{FF2B5EF4-FFF2-40B4-BE49-F238E27FC236}">
              <a16:creationId xmlns:a16="http://schemas.microsoft.com/office/drawing/2014/main" id="{00000000-0008-0000-0100-000082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3" name="AutoShape 249">
          <a:extLst>
            <a:ext uri="{FF2B5EF4-FFF2-40B4-BE49-F238E27FC236}">
              <a16:creationId xmlns:a16="http://schemas.microsoft.com/office/drawing/2014/main" id="{00000000-0008-0000-0100-000083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4" name="AutoShape 184">
          <a:extLst>
            <a:ext uri="{FF2B5EF4-FFF2-40B4-BE49-F238E27FC236}">
              <a16:creationId xmlns:a16="http://schemas.microsoft.com/office/drawing/2014/main" id="{00000000-0008-0000-0100-000084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5" name="AutoShape 185">
          <a:extLst>
            <a:ext uri="{FF2B5EF4-FFF2-40B4-BE49-F238E27FC236}">
              <a16:creationId xmlns:a16="http://schemas.microsoft.com/office/drawing/2014/main" id="{00000000-0008-0000-0100-000085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6" name="AutoShape 186">
          <a:extLst>
            <a:ext uri="{FF2B5EF4-FFF2-40B4-BE49-F238E27FC236}">
              <a16:creationId xmlns:a16="http://schemas.microsoft.com/office/drawing/2014/main" id="{00000000-0008-0000-0100-000086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487" name="AutoShape 187">
          <a:extLst>
            <a:ext uri="{FF2B5EF4-FFF2-40B4-BE49-F238E27FC236}">
              <a16:creationId xmlns:a16="http://schemas.microsoft.com/office/drawing/2014/main" id="{00000000-0008-0000-0100-000087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0" name="AutoShape 80">
          <a:extLst>
            <a:ext uri="{FF2B5EF4-FFF2-40B4-BE49-F238E27FC236}">
              <a16:creationId xmlns:a16="http://schemas.microsoft.com/office/drawing/2014/main" id="{00000000-0008-0000-0100-0000B2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1" name="AutoShape 84">
          <a:extLst>
            <a:ext uri="{FF2B5EF4-FFF2-40B4-BE49-F238E27FC236}">
              <a16:creationId xmlns:a16="http://schemas.microsoft.com/office/drawing/2014/main" id="{00000000-0008-0000-0100-0000B3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2" name="AutoShape 157">
          <a:extLst>
            <a:ext uri="{FF2B5EF4-FFF2-40B4-BE49-F238E27FC236}">
              <a16:creationId xmlns:a16="http://schemas.microsoft.com/office/drawing/2014/main" id="{00000000-0008-0000-0100-0000B4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3" name="AutoShape 158">
          <a:extLst>
            <a:ext uri="{FF2B5EF4-FFF2-40B4-BE49-F238E27FC236}">
              <a16:creationId xmlns:a16="http://schemas.microsoft.com/office/drawing/2014/main" id="{00000000-0008-0000-0100-0000B5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4" name="AutoShape 124">
          <a:extLst>
            <a:ext uri="{FF2B5EF4-FFF2-40B4-BE49-F238E27FC236}">
              <a16:creationId xmlns:a16="http://schemas.microsoft.com/office/drawing/2014/main" id="{00000000-0008-0000-0100-0000B6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535" name="AutoShape 80">
          <a:extLst>
            <a:ext uri="{FF2B5EF4-FFF2-40B4-BE49-F238E27FC236}">
              <a16:creationId xmlns:a16="http://schemas.microsoft.com/office/drawing/2014/main" id="{00000000-0008-0000-0100-0000B7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6" name="AutoShape 84">
          <a:extLst>
            <a:ext uri="{FF2B5EF4-FFF2-40B4-BE49-F238E27FC236}">
              <a16:creationId xmlns:a16="http://schemas.microsoft.com/office/drawing/2014/main" id="{00000000-0008-0000-0100-0000B8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7" name="AutoShape 157">
          <a:extLst>
            <a:ext uri="{FF2B5EF4-FFF2-40B4-BE49-F238E27FC236}">
              <a16:creationId xmlns:a16="http://schemas.microsoft.com/office/drawing/2014/main" id="{00000000-0008-0000-0100-0000B9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8" name="AutoShape 158">
          <a:extLst>
            <a:ext uri="{FF2B5EF4-FFF2-40B4-BE49-F238E27FC236}">
              <a16:creationId xmlns:a16="http://schemas.microsoft.com/office/drawing/2014/main" id="{00000000-0008-0000-0100-0000BA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39" name="AutoShape 249">
          <a:extLst>
            <a:ext uri="{FF2B5EF4-FFF2-40B4-BE49-F238E27FC236}">
              <a16:creationId xmlns:a16="http://schemas.microsoft.com/office/drawing/2014/main" id="{00000000-0008-0000-0100-0000BB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40" name="AutoShape 184">
          <a:extLst>
            <a:ext uri="{FF2B5EF4-FFF2-40B4-BE49-F238E27FC236}">
              <a16:creationId xmlns:a16="http://schemas.microsoft.com/office/drawing/2014/main" id="{00000000-0008-0000-0100-0000BC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41" name="AutoShape 185">
          <a:extLst>
            <a:ext uri="{FF2B5EF4-FFF2-40B4-BE49-F238E27FC236}">
              <a16:creationId xmlns:a16="http://schemas.microsoft.com/office/drawing/2014/main" id="{00000000-0008-0000-0100-0000BD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42" name="AutoShape 186">
          <a:extLst>
            <a:ext uri="{FF2B5EF4-FFF2-40B4-BE49-F238E27FC236}">
              <a16:creationId xmlns:a16="http://schemas.microsoft.com/office/drawing/2014/main" id="{00000000-0008-0000-0100-0000BE11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543" name="AutoShape 187">
          <a:extLst>
            <a:ext uri="{FF2B5EF4-FFF2-40B4-BE49-F238E27FC236}">
              <a16:creationId xmlns:a16="http://schemas.microsoft.com/office/drawing/2014/main" id="{00000000-0008-0000-0100-0000BF11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44" name="AutoShape 80">
          <a:extLst>
            <a:ext uri="{FF2B5EF4-FFF2-40B4-BE49-F238E27FC236}">
              <a16:creationId xmlns:a16="http://schemas.microsoft.com/office/drawing/2014/main" id="{00000000-0008-0000-0100-0000C0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45" name="AutoShape 84">
          <a:extLst>
            <a:ext uri="{FF2B5EF4-FFF2-40B4-BE49-F238E27FC236}">
              <a16:creationId xmlns:a16="http://schemas.microsoft.com/office/drawing/2014/main" id="{00000000-0008-0000-0100-0000C1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46" name="AutoShape 157">
          <a:extLst>
            <a:ext uri="{FF2B5EF4-FFF2-40B4-BE49-F238E27FC236}">
              <a16:creationId xmlns:a16="http://schemas.microsoft.com/office/drawing/2014/main" id="{00000000-0008-0000-0100-0000C2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47" name="AutoShape 158">
          <a:extLst>
            <a:ext uri="{FF2B5EF4-FFF2-40B4-BE49-F238E27FC236}">
              <a16:creationId xmlns:a16="http://schemas.microsoft.com/office/drawing/2014/main" id="{00000000-0008-0000-0100-0000C3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48" name="AutoShape 124">
          <a:extLst>
            <a:ext uri="{FF2B5EF4-FFF2-40B4-BE49-F238E27FC236}">
              <a16:creationId xmlns:a16="http://schemas.microsoft.com/office/drawing/2014/main" id="{00000000-0008-0000-0100-0000C4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549" name="AutoShape 80">
          <a:extLst>
            <a:ext uri="{FF2B5EF4-FFF2-40B4-BE49-F238E27FC236}">
              <a16:creationId xmlns:a16="http://schemas.microsoft.com/office/drawing/2014/main" id="{00000000-0008-0000-0100-0000C5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0" name="AutoShape 84">
          <a:extLst>
            <a:ext uri="{FF2B5EF4-FFF2-40B4-BE49-F238E27FC236}">
              <a16:creationId xmlns:a16="http://schemas.microsoft.com/office/drawing/2014/main" id="{00000000-0008-0000-0100-0000C6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1" name="AutoShape 157">
          <a:extLst>
            <a:ext uri="{FF2B5EF4-FFF2-40B4-BE49-F238E27FC236}">
              <a16:creationId xmlns:a16="http://schemas.microsoft.com/office/drawing/2014/main" id="{00000000-0008-0000-0100-0000C7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2" name="AutoShape 158">
          <a:extLst>
            <a:ext uri="{FF2B5EF4-FFF2-40B4-BE49-F238E27FC236}">
              <a16:creationId xmlns:a16="http://schemas.microsoft.com/office/drawing/2014/main" id="{00000000-0008-0000-0100-0000C8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3" name="AutoShape 249">
          <a:extLst>
            <a:ext uri="{FF2B5EF4-FFF2-40B4-BE49-F238E27FC236}">
              <a16:creationId xmlns:a16="http://schemas.microsoft.com/office/drawing/2014/main" id="{00000000-0008-0000-0100-0000C9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4" name="AutoShape 184">
          <a:extLst>
            <a:ext uri="{FF2B5EF4-FFF2-40B4-BE49-F238E27FC236}">
              <a16:creationId xmlns:a16="http://schemas.microsoft.com/office/drawing/2014/main" id="{00000000-0008-0000-0100-0000CA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5" name="AutoShape 185">
          <a:extLst>
            <a:ext uri="{FF2B5EF4-FFF2-40B4-BE49-F238E27FC236}">
              <a16:creationId xmlns:a16="http://schemas.microsoft.com/office/drawing/2014/main" id="{00000000-0008-0000-0100-0000CB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6" name="AutoShape 186">
          <a:extLst>
            <a:ext uri="{FF2B5EF4-FFF2-40B4-BE49-F238E27FC236}">
              <a16:creationId xmlns:a16="http://schemas.microsoft.com/office/drawing/2014/main" id="{00000000-0008-0000-0100-0000CC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7" name="AutoShape 187">
          <a:extLst>
            <a:ext uri="{FF2B5EF4-FFF2-40B4-BE49-F238E27FC236}">
              <a16:creationId xmlns:a16="http://schemas.microsoft.com/office/drawing/2014/main" id="{00000000-0008-0000-0100-0000CD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8" name="AutoShape 80">
          <a:extLst>
            <a:ext uri="{FF2B5EF4-FFF2-40B4-BE49-F238E27FC236}">
              <a16:creationId xmlns:a16="http://schemas.microsoft.com/office/drawing/2014/main" id="{00000000-0008-0000-0100-0000CE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59" name="AutoShape 84">
          <a:extLst>
            <a:ext uri="{FF2B5EF4-FFF2-40B4-BE49-F238E27FC236}">
              <a16:creationId xmlns:a16="http://schemas.microsoft.com/office/drawing/2014/main" id="{00000000-0008-0000-0100-0000CF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0" name="AutoShape 157">
          <a:extLst>
            <a:ext uri="{FF2B5EF4-FFF2-40B4-BE49-F238E27FC236}">
              <a16:creationId xmlns:a16="http://schemas.microsoft.com/office/drawing/2014/main" id="{00000000-0008-0000-0100-0000D0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1" name="AutoShape 158">
          <a:extLst>
            <a:ext uri="{FF2B5EF4-FFF2-40B4-BE49-F238E27FC236}">
              <a16:creationId xmlns:a16="http://schemas.microsoft.com/office/drawing/2014/main" id="{00000000-0008-0000-0100-0000D1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2" name="AutoShape 124">
          <a:extLst>
            <a:ext uri="{FF2B5EF4-FFF2-40B4-BE49-F238E27FC236}">
              <a16:creationId xmlns:a16="http://schemas.microsoft.com/office/drawing/2014/main" id="{00000000-0008-0000-0100-0000D2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563" name="AutoShape 80">
          <a:extLst>
            <a:ext uri="{FF2B5EF4-FFF2-40B4-BE49-F238E27FC236}">
              <a16:creationId xmlns:a16="http://schemas.microsoft.com/office/drawing/2014/main" id="{00000000-0008-0000-0100-0000D3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4" name="AutoShape 84">
          <a:extLst>
            <a:ext uri="{FF2B5EF4-FFF2-40B4-BE49-F238E27FC236}">
              <a16:creationId xmlns:a16="http://schemas.microsoft.com/office/drawing/2014/main" id="{00000000-0008-0000-0100-0000D4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5" name="AutoShape 157">
          <a:extLst>
            <a:ext uri="{FF2B5EF4-FFF2-40B4-BE49-F238E27FC236}">
              <a16:creationId xmlns:a16="http://schemas.microsoft.com/office/drawing/2014/main" id="{00000000-0008-0000-0100-0000D5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6" name="AutoShape 158">
          <a:extLst>
            <a:ext uri="{FF2B5EF4-FFF2-40B4-BE49-F238E27FC236}">
              <a16:creationId xmlns:a16="http://schemas.microsoft.com/office/drawing/2014/main" id="{00000000-0008-0000-0100-0000D6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7" name="AutoShape 249">
          <a:extLst>
            <a:ext uri="{FF2B5EF4-FFF2-40B4-BE49-F238E27FC236}">
              <a16:creationId xmlns:a16="http://schemas.microsoft.com/office/drawing/2014/main" id="{00000000-0008-0000-0100-0000D7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8" name="AutoShape 184">
          <a:extLst>
            <a:ext uri="{FF2B5EF4-FFF2-40B4-BE49-F238E27FC236}">
              <a16:creationId xmlns:a16="http://schemas.microsoft.com/office/drawing/2014/main" id="{00000000-0008-0000-0100-0000D8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69" name="AutoShape 185">
          <a:extLst>
            <a:ext uri="{FF2B5EF4-FFF2-40B4-BE49-F238E27FC236}">
              <a16:creationId xmlns:a16="http://schemas.microsoft.com/office/drawing/2014/main" id="{00000000-0008-0000-0100-0000D9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70" name="AutoShape 186">
          <a:extLst>
            <a:ext uri="{FF2B5EF4-FFF2-40B4-BE49-F238E27FC236}">
              <a16:creationId xmlns:a16="http://schemas.microsoft.com/office/drawing/2014/main" id="{00000000-0008-0000-0100-0000DA11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571" name="AutoShape 187">
          <a:extLst>
            <a:ext uri="{FF2B5EF4-FFF2-40B4-BE49-F238E27FC236}">
              <a16:creationId xmlns:a16="http://schemas.microsoft.com/office/drawing/2014/main" id="{00000000-0008-0000-0100-0000DB11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14" name="AutoShape 80">
          <a:extLst>
            <a:ext uri="{FF2B5EF4-FFF2-40B4-BE49-F238E27FC236}">
              <a16:creationId xmlns:a16="http://schemas.microsoft.com/office/drawing/2014/main" id="{00000000-0008-0000-0100-000006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15" name="AutoShape 84">
          <a:extLst>
            <a:ext uri="{FF2B5EF4-FFF2-40B4-BE49-F238E27FC236}">
              <a16:creationId xmlns:a16="http://schemas.microsoft.com/office/drawing/2014/main" id="{00000000-0008-0000-0100-000007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16" name="AutoShape 157">
          <a:extLst>
            <a:ext uri="{FF2B5EF4-FFF2-40B4-BE49-F238E27FC236}">
              <a16:creationId xmlns:a16="http://schemas.microsoft.com/office/drawing/2014/main" id="{00000000-0008-0000-0100-000008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17" name="AutoShape 158">
          <a:extLst>
            <a:ext uri="{FF2B5EF4-FFF2-40B4-BE49-F238E27FC236}">
              <a16:creationId xmlns:a16="http://schemas.microsoft.com/office/drawing/2014/main" id="{00000000-0008-0000-0100-000009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18" name="AutoShape 124">
          <a:extLst>
            <a:ext uri="{FF2B5EF4-FFF2-40B4-BE49-F238E27FC236}">
              <a16:creationId xmlns:a16="http://schemas.microsoft.com/office/drawing/2014/main" id="{00000000-0008-0000-0100-00000A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619" name="AutoShape 80">
          <a:extLst>
            <a:ext uri="{FF2B5EF4-FFF2-40B4-BE49-F238E27FC236}">
              <a16:creationId xmlns:a16="http://schemas.microsoft.com/office/drawing/2014/main" id="{00000000-0008-0000-0100-00000B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0" name="AutoShape 84">
          <a:extLst>
            <a:ext uri="{FF2B5EF4-FFF2-40B4-BE49-F238E27FC236}">
              <a16:creationId xmlns:a16="http://schemas.microsoft.com/office/drawing/2014/main" id="{00000000-0008-0000-0100-00000C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1" name="AutoShape 157">
          <a:extLst>
            <a:ext uri="{FF2B5EF4-FFF2-40B4-BE49-F238E27FC236}">
              <a16:creationId xmlns:a16="http://schemas.microsoft.com/office/drawing/2014/main" id="{00000000-0008-0000-0100-00000D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2" name="AutoShape 158">
          <a:extLst>
            <a:ext uri="{FF2B5EF4-FFF2-40B4-BE49-F238E27FC236}">
              <a16:creationId xmlns:a16="http://schemas.microsoft.com/office/drawing/2014/main" id="{00000000-0008-0000-0100-00000E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3" name="AutoShape 249">
          <a:extLst>
            <a:ext uri="{FF2B5EF4-FFF2-40B4-BE49-F238E27FC236}">
              <a16:creationId xmlns:a16="http://schemas.microsoft.com/office/drawing/2014/main" id="{00000000-0008-0000-0100-00000F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4" name="AutoShape 184">
          <a:extLst>
            <a:ext uri="{FF2B5EF4-FFF2-40B4-BE49-F238E27FC236}">
              <a16:creationId xmlns:a16="http://schemas.microsoft.com/office/drawing/2014/main" id="{00000000-0008-0000-0100-000010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5" name="AutoShape 185">
          <a:extLst>
            <a:ext uri="{FF2B5EF4-FFF2-40B4-BE49-F238E27FC236}">
              <a16:creationId xmlns:a16="http://schemas.microsoft.com/office/drawing/2014/main" id="{00000000-0008-0000-0100-000011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6" name="AutoShape 186">
          <a:extLst>
            <a:ext uri="{FF2B5EF4-FFF2-40B4-BE49-F238E27FC236}">
              <a16:creationId xmlns:a16="http://schemas.microsoft.com/office/drawing/2014/main" id="{00000000-0008-0000-0100-000012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627" name="AutoShape 187">
          <a:extLst>
            <a:ext uri="{FF2B5EF4-FFF2-40B4-BE49-F238E27FC236}">
              <a16:creationId xmlns:a16="http://schemas.microsoft.com/office/drawing/2014/main" id="{00000000-0008-0000-0100-000013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28" name="AutoShape 80">
          <a:extLst>
            <a:ext uri="{FF2B5EF4-FFF2-40B4-BE49-F238E27FC236}">
              <a16:creationId xmlns:a16="http://schemas.microsoft.com/office/drawing/2014/main" id="{00000000-0008-0000-0100-000014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29" name="AutoShape 84">
          <a:extLst>
            <a:ext uri="{FF2B5EF4-FFF2-40B4-BE49-F238E27FC236}">
              <a16:creationId xmlns:a16="http://schemas.microsoft.com/office/drawing/2014/main" id="{00000000-0008-0000-0100-000015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0" name="AutoShape 157">
          <a:extLst>
            <a:ext uri="{FF2B5EF4-FFF2-40B4-BE49-F238E27FC236}">
              <a16:creationId xmlns:a16="http://schemas.microsoft.com/office/drawing/2014/main" id="{00000000-0008-0000-0100-000016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1" name="AutoShape 158">
          <a:extLst>
            <a:ext uri="{FF2B5EF4-FFF2-40B4-BE49-F238E27FC236}">
              <a16:creationId xmlns:a16="http://schemas.microsoft.com/office/drawing/2014/main" id="{00000000-0008-0000-0100-000017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2" name="AutoShape 124">
          <a:extLst>
            <a:ext uri="{FF2B5EF4-FFF2-40B4-BE49-F238E27FC236}">
              <a16:creationId xmlns:a16="http://schemas.microsoft.com/office/drawing/2014/main" id="{00000000-0008-0000-0100-000018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633" name="AutoShape 80">
          <a:extLst>
            <a:ext uri="{FF2B5EF4-FFF2-40B4-BE49-F238E27FC236}">
              <a16:creationId xmlns:a16="http://schemas.microsoft.com/office/drawing/2014/main" id="{00000000-0008-0000-0100-000019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4" name="AutoShape 84">
          <a:extLst>
            <a:ext uri="{FF2B5EF4-FFF2-40B4-BE49-F238E27FC236}">
              <a16:creationId xmlns:a16="http://schemas.microsoft.com/office/drawing/2014/main" id="{00000000-0008-0000-0100-00001A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5" name="AutoShape 157">
          <a:extLst>
            <a:ext uri="{FF2B5EF4-FFF2-40B4-BE49-F238E27FC236}">
              <a16:creationId xmlns:a16="http://schemas.microsoft.com/office/drawing/2014/main" id="{00000000-0008-0000-0100-00001B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6" name="AutoShape 158">
          <a:extLst>
            <a:ext uri="{FF2B5EF4-FFF2-40B4-BE49-F238E27FC236}">
              <a16:creationId xmlns:a16="http://schemas.microsoft.com/office/drawing/2014/main" id="{00000000-0008-0000-0100-00001C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7" name="AutoShape 249">
          <a:extLst>
            <a:ext uri="{FF2B5EF4-FFF2-40B4-BE49-F238E27FC236}">
              <a16:creationId xmlns:a16="http://schemas.microsoft.com/office/drawing/2014/main" id="{00000000-0008-0000-0100-00001D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8" name="AutoShape 184">
          <a:extLst>
            <a:ext uri="{FF2B5EF4-FFF2-40B4-BE49-F238E27FC236}">
              <a16:creationId xmlns:a16="http://schemas.microsoft.com/office/drawing/2014/main" id="{00000000-0008-0000-0100-00001E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39" name="AutoShape 185">
          <a:extLst>
            <a:ext uri="{FF2B5EF4-FFF2-40B4-BE49-F238E27FC236}">
              <a16:creationId xmlns:a16="http://schemas.microsoft.com/office/drawing/2014/main" id="{00000000-0008-0000-0100-00001F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40" name="AutoShape 186">
          <a:extLst>
            <a:ext uri="{FF2B5EF4-FFF2-40B4-BE49-F238E27FC236}">
              <a16:creationId xmlns:a16="http://schemas.microsoft.com/office/drawing/2014/main" id="{00000000-0008-0000-0100-000020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641" name="AutoShape 187">
          <a:extLst>
            <a:ext uri="{FF2B5EF4-FFF2-40B4-BE49-F238E27FC236}">
              <a16:creationId xmlns:a16="http://schemas.microsoft.com/office/drawing/2014/main" id="{00000000-0008-0000-0100-000021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26" name="AutoShape 80">
          <a:extLst>
            <a:ext uri="{FF2B5EF4-FFF2-40B4-BE49-F238E27FC236}">
              <a16:creationId xmlns:a16="http://schemas.microsoft.com/office/drawing/2014/main" id="{00000000-0008-0000-0100-000076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27" name="AutoShape 84">
          <a:extLst>
            <a:ext uri="{FF2B5EF4-FFF2-40B4-BE49-F238E27FC236}">
              <a16:creationId xmlns:a16="http://schemas.microsoft.com/office/drawing/2014/main" id="{00000000-0008-0000-0100-000077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28" name="AutoShape 157">
          <a:extLst>
            <a:ext uri="{FF2B5EF4-FFF2-40B4-BE49-F238E27FC236}">
              <a16:creationId xmlns:a16="http://schemas.microsoft.com/office/drawing/2014/main" id="{00000000-0008-0000-0100-000078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29" name="AutoShape 158">
          <a:extLst>
            <a:ext uri="{FF2B5EF4-FFF2-40B4-BE49-F238E27FC236}">
              <a16:creationId xmlns:a16="http://schemas.microsoft.com/office/drawing/2014/main" id="{00000000-0008-0000-0100-000079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0" name="AutoShape 124">
          <a:extLst>
            <a:ext uri="{FF2B5EF4-FFF2-40B4-BE49-F238E27FC236}">
              <a16:creationId xmlns:a16="http://schemas.microsoft.com/office/drawing/2014/main" id="{00000000-0008-0000-0100-00007A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731" name="AutoShape 80">
          <a:extLst>
            <a:ext uri="{FF2B5EF4-FFF2-40B4-BE49-F238E27FC236}">
              <a16:creationId xmlns:a16="http://schemas.microsoft.com/office/drawing/2014/main" id="{00000000-0008-0000-0100-00007B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2" name="AutoShape 84">
          <a:extLst>
            <a:ext uri="{FF2B5EF4-FFF2-40B4-BE49-F238E27FC236}">
              <a16:creationId xmlns:a16="http://schemas.microsoft.com/office/drawing/2014/main" id="{00000000-0008-0000-0100-00007C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3" name="AutoShape 157">
          <a:extLst>
            <a:ext uri="{FF2B5EF4-FFF2-40B4-BE49-F238E27FC236}">
              <a16:creationId xmlns:a16="http://schemas.microsoft.com/office/drawing/2014/main" id="{00000000-0008-0000-0100-00007D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4" name="AutoShape 158">
          <a:extLst>
            <a:ext uri="{FF2B5EF4-FFF2-40B4-BE49-F238E27FC236}">
              <a16:creationId xmlns:a16="http://schemas.microsoft.com/office/drawing/2014/main" id="{00000000-0008-0000-0100-00007E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5" name="AutoShape 249">
          <a:extLst>
            <a:ext uri="{FF2B5EF4-FFF2-40B4-BE49-F238E27FC236}">
              <a16:creationId xmlns:a16="http://schemas.microsoft.com/office/drawing/2014/main" id="{00000000-0008-0000-0100-00007F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6" name="AutoShape 184">
          <a:extLst>
            <a:ext uri="{FF2B5EF4-FFF2-40B4-BE49-F238E27FC236}">
              <a16:creationId xmlns:a16="http://schemas.microsoft.com/office/drawing/2014/main" id="{00000000-0008-0000-0100-000080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7" name="AutoShape 185">
          <a:extLst>
            <a:ext uri="{FF2B5EF4-FFF2-40B4-BE49-F238E27FC236}">
              <a16:creationId xmlns:a16="http://schemas.microsoft.com/office/drawing/2014/main" id="{00000000-0008-0000-0100-000081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8" name="AutoShape 186">
          <a:extLst>
            <a:ext uri="{FF2B5EF4-FFF2-40B4-BE49-F238E27FC236}">
              <a16:creationId xmlns:a16="http://schemas.microsoft.com/office/drawing/2014/main" id="{00000000-0008-0000-0100-000082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39" name="AutoShape 187">
          <a:extLst>
            <a:ext uri="{FF2B5EF4-FFF2-40B4-BE49-F238E27FC236}">
              <a16:creationId xmlns:a16="http://schemas.microsoft.com/office/drawing/2014/main" id="{00000000-0008-0000-0100-000083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0" name="AutoShape 80">
          <a:extLst>
            <a:ext uri="{FF2B5EF4-FFF2-40B4-BE49-F238E27FC236}">
              <a16:creationId xmlns:a16="http://schemas.microsoft.com/office/drawing/2014/main" id="{00000000-0008-0000-0100-000084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1" name="AutoShape 84">
          <a:extLst>
            <a:ext uri="{FF2B5EF4-FFF2-40B4-BE49-F238E27FC236}">
              <a16:creationId xmlns:a16="http://schemas.microsoft.com/office/drawing/2014/main" id="{00000000-0008-0000-0100-000085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2" name="AutoShape 157">
          <a:extLst>
            <a:ext uri="{FF2B5EF4-FFF2-40B4-BE49-F238E27FC236}">
              <a16:creationId xmlns:a16="http://schemas.microsoft.com/office/drawing/2014/main" id="{00000000-0008-0000-0100-000086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3" name="AutoShape 158">
          <a:extLst>
            <a:ext uri="{FF2B5EF4-FFF2-40B4-BE49-F238E27FC236}">
              <a16:creationId xmlns:a16="http://schemas.microsoft.com/office/drawing/2014/main" id="{00000000-0008-0000-0100-000087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4" name="AutoShape 124">
          <a:extLst>
            <a:ext uri="{FF2B5EF4-FFF2-40B4-BE49-F238E27FC236}">
              <a16:creationId xmlns:a16="http://schemas.microsoft.com/office/drawing/2014/main" id="{00000000-0008-0000-0100-000088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745" name="AutoShape 80">
          <a:extLst>
            <a:ext uri="{FF2B5EF4-FFF2-40B4-BE49-F238E27FC236}">
              <a16:creationId xmlns:a16="http://schemas.microsoft.com/office/drawing/2014/main" id="{00000000-0008-0000-0100-000089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6" name="AutoShape 84">
          <a:extLst>
            <a:ext uri="{FF2B5EF4-FFF2-40B4-BE49-F238E27FC236}">
              <a16:creationId xmlns:a16="http://schemas.microsoft.com/office/drawing/2014/main" id="{00000000-0008-0000-0100-00008A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7" name="AutoShape 157">
          <a:extLst>
            <a:ext uri="{FF2B5EF4-FFF2-40B4-BE49-F238E27FC236}">
              <a16:creationId xmlns:a16="http://schemas.microsoft.com/office/drawing/2014/main" id="{00000000-0008-0000-0100-00008B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8" name="AutoShape 158">
          <a:extLst>
            <a:ext uri="{FF2B5EF4-FFF2-40B4-BE49-F238E27FC236}">
              <a16:creationId xmlns:a16="http://schemas.microsoft.com/office/drawing/2014/main" id="{00000000-0008-0000-0100-00008C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49" name="AutoShape 249">
          <a:extLst>
            <a:ext uri="{FF2B5EF4-FFF2-40B4-BE49-F238E27FC236}">
              <a16:creationId xmlns:a16="http://schemas.microsoft.com/office/drawing/2014/main" id="{00000000-0008-0000-0100-00008D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0" name="AutoShape 184">
          <a:extLst>
            <a:ext uri="{FF2B5EF4-FFF2-40B4-BE49-F238E27FC236}">
              <a16:creationId xmlns:a16="http://schemas.microsoft.com/office/drawing/2014/main" id="{00000000-0008-0000-0100-00008E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1" name="AutoShape 185">
          <a:extLst>
            <a:ext uri="{FF2B5EF4-FFF2-40B4-BE49-F238E27FC236}">
              <a16:creationId xmlns:a16="http://schemas.microsoft.com/office/drawing/2014/main" id="{00000000-0008-0000-0100-00008F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2" name="AutoShape 186">
          <a:extLst>
            <a:ext uri="{FF2B5EF4-FFF2-40B4-BE49-F238E27FC236}">
              <a16:creationId xmlns:a16="http://schemas.microsoft.com/office/drawing/2014/main" id="{00000000-0008-0000-0100-000090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3" name="AutoShape 187">
          <a:extLst>
            <a:ext uri="{FF2B5EF4-FFF2-40B4-BE49-F238E27FC236}">
              <a16:creationId xmlns:a16="http://schemas.microsoft.com/office/drawing/2014/main" id="{00000000-0008-0000-0100-000091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4" name="AutoShape 80">
          <a:extLst>
            <a:ext uri="{FF2B5EF4-FFF2-40B4-BE49-F238E27FC236}">
              <a16:creationId xmlns:a16="http://schemas.microsoft.com/office/drawing/2014/main" id="{00000000-0008-0000-0100-000092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5" name="AutoShape 84">
          <a:extLst>
            <a:ext uri="{FF2B5EF4-FFF2-40B4-BE49-F238E27FC236}">
              <a16:creationId xmlns:a16="http://schemas.microsoft.com/office/drawing/2014/main" id="{00000000-0008-0000-0100-000093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6" name="AutoShape 157">
          <a:extLst>
            <a:ext uri="{FF2B5EF4-FFF2-40B4-BE49-F238E27FC236}">
              <a16:creationId xmlns:a16="http://schemas.microsoft.com/office/drawing/2014/main" id="{00000000-0008-0000-0100-000094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7" name="AutoShape 158">
          <a:extLst>
            <a:ext uri="{FF2B5EF4-FFF2-40B4-BE49-F238E27FC236}">
              <a16:creationId xmlns:a16="http://schemas.microsoft.com/office/drawing/2014/main" id="{00000000-0008-0000-0100-000095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58" name="AutoShape 124">
          <a:extLst>
            <a:ext uri="{FF2B5EF4-FFF2-40B4-BE49-F238E27FC236}">
              <a16:creationId xmlns:a16="http://schemas.microsoft.com/office/drawing/2014/main" id="{00000000-0008-0000-0100-000096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20</xdr:col>
      <xdr:colOff>0</xdr:colOff>
      <xdr:row>16</xdr:row>
      <xdr:rowOff>0</xdr:rowOff>
    </xdr:to>
    <xdr:sp macro="" textlink="">
      <xdr:nvSpPr>
        <xdr:cNvPr id="4759" name="AutoShape 80">
          <a:extLst>
            <a:ext uri="{FF2B5EF4-FFF2-40B4-BE49-F238E27FC236}">
              <a16:creationId xmlns:a16="http://schemas.microsoft.com/office/drawing/2014/main" id="{00000000-0008-0000-0100-000097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0" name="AutoShape 84">
          <a:extLst>
            <a:ext uri="{FF2B5EF4-FFF2-40B4-BE49-F238E27FC236}">
              <a16:creationId xmlns:a16="http://schemas.microsoft.com/office/drawing/2014/main" id="{00000000-0008-0000-0100-000098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1" name="AutoShape 157">
          <a:extLst>
            <a:ext uri="{FF2B5EF4-FFF2-40B4-BE49-F238E27FC236}">
              <a16:creationId xmlns:a16="http://schemas.microsoft.com/office/drawing/2014/main" id="{00000000-0008-0000-0100-000099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2" name="AutoShape 158">
          <a:extLst>
            <a:ext uri="{FF2B5EF4-FFF2-40B4-BE49-F238E27FC236}">
              <a16:creationId xmlns:a16="http://schemas.microsoft.com/office/drawing/2014/main" id="{00000000-0008-0000-0100-00009A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3" name="AutoShape 249">
          <a:extLst>
            <a:ext uri="{FF2B5EF4-FFF2-40B4-BE49-F238E27FC236}">
              <a16:creationId xmlns:a16="http://schemas.microsoft.com/office/drawing/2014/main" id="{00000000-0008-0000-0100-00009B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4" name="AutoShape 184">
          <a:extLst>
            <a:ext uri="{FF2B5EF4-FFF2-40B4-BE49-F238E27FC236}">
              <a16:creationId xmlns:a16="http://schemas.microsoft.com/office/drawing/2014/main" id="{00000000-0008-0000-0100-00009C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5" name="AutoShape 185">
          <a:extLst>
            <a:ext uri="{FF2B5EF4-FFF2-40B4-BE49-F238E27FC236}">
              <a16:creationId xmlns:a16="http://schemas.microsoft.com/office/drawing/2014/main" id="{00000000-0008-0000-0100-00009D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16</xdr:row>
      <xdr:rowOff>0</xdr:rowOff>
    </xdr:from>
    <xdr:to>
      <xdr:col>19</xdr:col>
      <xdr:colOff>495300</xdr:colOff>
      <xdr:row>16</xdr:row>
      <xdr:rowOff>0</xdr:rowOff>
    </xdr:to>
    <xdr:sp macro="" textlink="">
      <xdr:nvSpPr>
        <xdr:cNvPr id="4766" name="AutoShape 186">
          <a:extLst>
            <a:ext uri="{FF2B5EF4-FFF2-40B4-BE49-F238E27FC236}">
              <a16:creationId xmlns:a16="http://schemas.microsoft.com/office/drawing/2014/main" id="{00000000-0008-0000-0100-00009E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68" name="AutoShape 80">
          <a:extLst>
            <a:ext uri="{FF2B5EF4-FFF2-40B4-BE49-F238E27FC236}">
              <a16:creationId xmlns:a16="http://schemas.microsoft.com/office/drawing/2014/main" id="{00000000-0008-0000-0100-0000A0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69" name="AutoShape 84">
          <a:extLst>
            <a:ext uri="{FF2B5EF4-FFF2-40B4-BE49-F238E27FC236}">
              <a16:creationId xmlns:a16="http://schemas.microsoft.com/office/drawing/2014/main" id="{00000000-0008-0000-0100-0000A1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0" name="AutoShape 157">
          <a:extLst>
            <a:ext uri="{FF2B5EF4-FFF2-40B4-BE49-F238E27FC236}">
              <a16:creationId xmlns:a16="http://schemas.microsoft.com/office/drawing/2014/main" id="{00000000-0008-0000-0100-0000A2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1" name="AutoShape 158">
          <a:extLst>
            <a:ext uri="{FF2B5EF4-FFF2-40B4-BE49-F238E27FC236}">
              <a16:creationId xmlns:a16="http://schemas.microsoft.com/office/drawing/2014/main" id="{00000000-0008-0000-0100-0000A3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2" name="AutoShape 124">
          <a:extLst>
            <a:ext uri="{FF2B5EF4-FFF2-40B4-BE49-F238E27FC236}">
              <a16:creationId xmlns:a16="http://schemas.microsoft.com/office/drawing/2014/main" id="{00000000-0008-0000-0100-0000A4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773" name="AutoShape 80">
          <a:extLst>
            <a:ext uri="{FF2B5EF4-FFF2-40B4-BE49-F238E27FC236}">
              <a16:creationId xmlns:a16="http://schemas.microsoft.com/office/drawing/2014/main" id="{00000000-0008-0000-0100-0000A5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4" name="AutoShape 84">
          <a:extLst>
            <a:ext uri="{FF2B5EF4-FFF2-40B4-BE49-F238E27FC236}">
              <a16:creationId xmlns:a16="http://schemas.microsoft.com/office/drawing/2014/main" id="{00000000-0008-0000-0100-0000A6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5" name="AutoShape 157">
          <a:extLst>
            <a:ext uri="{FF2B5EF4-FFF2-40B4-BE49-F238E27FC236}">
              <a16:creationId xmlns:a16="http://schemas.microsoft.com/office/drawing/2014/main" id="{00000000-0008-0000-0100-0000A7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6" name="AutoShape 158">
          <a:extLst>
            <a:ext uri="{FF2B5EF4-FFF2-40B4-BE49-F238E27FC236}">
              <a16:creationId xmlns:a16="http://schemas.microsoft.com/office/drawing/2014/main" id="{00000000-0008-0000-0100-0000A8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7" name="AutoShape 249">
          <a:extLst>
            <a:ext uri="{FF2B5EF4-FFF2-40B4-BE49-F238E27FC236}">
              <a16:creationId xmlns:a16="http://schemas.microsoft.com/office/drawing/2014/main" id="{00000000-0008-0000-0100-0000A9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8" name="AutoShape 184">
          <a:extLst>
            <a:ext uri="{FF2B5EF4-FFF2-40B4-BE49-F238E27FC236}">
              <a16:creationId xmlns:a16="http://schemas.microsoft.com/office/drawing/2014/main" id="{00000000-0008-0000-0100-0000AA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79" name="AutoShape 185">
          <a:extLst>
            <a:ext uri="{FF2B5EF4-FFF2-40B4-BE49-F238E27FC236}">
              <a16:creationId xmlns:a16="http://schemas.microsoft.com/office/drawing/2014/main" id="{00000000-0008-0000-0100-0000AB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0" name="AutoShape 186">
          <a:extLst>
            <a:ext uri="{FF2B5EF4-FFF2-40B4-BE49-F238E27FC236}">
              <a16:creationId xmlns:a16="http://schemas.microsoft.com/office/drawing/2014/main" id="{00000000-0008-0000-0100-0000AC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1" name="AutoShape 187">
          <a:extLst>
            <a:ext uri="{FF2B5EF4-FFF2-40B4-BE49-F238E27FC236}">
              <a16:creationId xmlns:a16="http://schemas.microsoft.com/office/drawing/2014/main" id="{00000000-0008-0000-0100-0000AD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2" name="AutoShape 80">
          <a:extLst>
            <a:ext uri="{FF2B5EF4-FFF2-40B4-BE49-F238E27FC236}">
              <a16:creationId xmlns:a16="http://schemas.microsoft.com/office/drawing/2014/main" id="{00000000-0008-0000-0100-0000AE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3" name="AutoShape 84">
          <a:extLst>
            <a:ext uri="{FF2B5EF4-FFF2-40B4-BE49-F238E27FC236}">
              <a16:creationId xmlns:a16="http://schemas.microsoft.com/office/drawing/2014/main" id="{00000000-0008-0000-0100-0000AF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4" name="AutoShape 157">
          <a:extLst>
            <a:ext uri="{FF2B5EF4-FFF2-40B4-BE49-F238E27FC236}">
              <a16:creationId xmlns:a16="http://schemas.microsoft.com/office/drawing/2014/main" id="{00000000-0008-0000-0100-0000B0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5" name="AutoShape 158">
          <a:extLst>
            <a:ext uri="{FF2B5EF4-FFF2-40B4-BE49-F238E27FC236}">
              <a16:creationId xmlns:a16="http://schemas.microsoft.com/office/drawing/2014/main" id="{00000000-0008-0000-0100-0000B1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6" name="AutoShape 124">
          <a:extLst>
            <a:ext uri="{FF2B5EF4-FFF2-40B4-BE49-F238E27FC236}">
              <a16:creationId xmlns:a16="http://schemas.microsoft.com/office/drawing/2014/main" id="{00000000-0008-0000-0100-0000B2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787" name="AutoShape 80">
          <a:extLst>
            <a:ext uri="{FF2B5EF4-FFF2-40B4-BE49-F238E27FC236}">
              <a16:creationId xmlns:a16="http://schemas.microsoft.com/office/drawing/2014/main" id="{00000000-0008-0000-0100-0000B3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8" name="AutoShape 84">
          <a:extLst>
            <a:ext uri="{FF2B5EF4-FFF2-40B4-BE49-F238E27FC236}">
              <a16:creationId xmlns:a16="http://schemas.microsoft.com/office/drawing/2014/main" id="{00000000-0008-0000-0100-0000B4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89" name="AutoShape 157">
          <a:extLst>
            <a:ext uri="{FF2B5EF4-FFF2-40B4-BE49-F238E27FC236}">
              <a16:creationId xmlns:a16="http://schemas.microsoft.com/office/drawing/2014/main" id="{00000000-0008-0000-0100-0000B5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0" name="AutoShape 158">
          <a:extLst>
            <a:ext uri="{FF2B5EF4-FFF2-40B4-BE49-F238E27FC236}">
              <a16:creationId xmlns:a16="http://schemas.microsoft.com/office/drawing/2014/main" id="{00000000-0008-0000-0100-0000B6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1" name="AutoShape 249">
          <a:extLst>
            <a:ext uri="{FF2B5EF4-FFF2-40B4-BE49-F238E27FC236}">
              <a16:creationId xmlns:a16="http://schemas.microsoft.com/office/drawing/2014/main" id="{00000000-0008-0000-0100-0000B7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2" name="AutoShape 184">
          <a:extLst>
            <a:ext uri="{FF2B5EF4-FFF2-40B4-BE49-F238E27FC236}">
              <a16:creationId xmlns:a16="http://schemas.microsoft.com/office/drawing/2014/main" id="{00000000-0008-0000-0100-0000B8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3" name="AutoShape 185">
          <a:extLst>
            <a:ext uri="{FF2B5EF4-FFF2-40B4-BE49-F238E27FC236}">
              <a16:creationId xmlns:a16="http://schemas.microsoft.com/office/drawing/2014/main" id="{00000000-0008-0000-0100-0000B9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4" name="AutoShape 186">
          <a:extLst>
            <a:ext uri="{FF2B5EF4-FFF2-40B4-BE49-F238E27FC236}">
              <a16:creationId xmlns:a16="http://schemas.microsoft.com/office/drawing/2014/main" id="{00000000-0008-0000-0100-0000BA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5" name="AutoShape 187">
          <a:extLst>
            <a:ext uri="{FF2B5EF4-FFF2-40B4-BE49-F238E27FC236}">
              <a16:creationId xmlns:a16="http://schemas.microsoft.com/office/drawing/2014/main" id="{00000000-0008-0000-0100-0000BB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6" name="AutoShape 80">
          <a:extLst>
            <a:ext uri="{FF2B5EF4-FFF2-40B4-BE49-F238E27FC236}">
              <a16:creationId xmlns:a16="http://schemas.microsoft.com/office/drawing/2014/main" id="{00000000-0008-0000-0100-0000BC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7" name="AutoShape 84">
          <a:extLst>
            <a:ext uri="{FF2B5EF4-FFF2-40B4-BE49-F238E27FC236}">
              <a16:creationId xmlns:a16="http://schemas.microsoft.com/office/drawing/2014/main" id="{00000000-0008-0000-0100-0000BD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8" name="AutoShape 157">
          <a:extLst>
            <a:ext uri="{FF2B5EF4-FFF2-40B4-BE49-F238E27FC236}">
              <a16:creationId xmlns:a16="http://schemas.microsoft.com/office/drawing/2014/main" id="{00000000-0008-0000-0100-0000BE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799" name="AutoShape 158">
          <a:extLst>
            <a:ext uri="{FF2B5EF4-FFF2-40B4-BE49-F238E27FC236}">
              <a16:creationId xmlns:a16="http://schemas.microsoft.com/office/drawing/2014/main" id="{00000000-0008-0000-0100-0000BF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0" name="AutoShape 124">
          <a:extLst>
            <a:ext uri="{FF2B5EF4-FFF2-40B4-BE49-F238E27FC236}">
              <a16:creationId xmlns:a16="http://schemas.microsoft.com/office/drawing/2014/main" id="{00000000-0008-0000-0100-0000C0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4801" name="AutoShape 80">
          <a:extLst>
            <a:ext uri="{FF2B5EF4-FFF2-40B4-BE49-F238E27FC236}">
              <a16:creationId xmlns:a16="http://schemas.microsoft.com/office/drawing/2014/main" id="{00000000-0008-0000-0100-0000C1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2" name="AutoShape 84">
          <a:extLst>
            <a:ext uri="{FF2B5EF4-FFF2-40B4-BE49-F238E27FC236}">
              <a16:creationId xmlns:a16="http://schemas.microsoft.com/office/drawing/2014/main" id="{00000000-0008-0000-0100-0000C2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3" name="AutoShape 157">
          <a:extLst>
            <a:ext uri="{FF2B5EF4-FFF2-40B4-BE49-F238E27FC236}">
              <a16:creationId xmlns:a16="http://schemas.microsoft.com/office/drawing/2014/main" id="{00000000-0008-0000-0100-0000C3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4" name="AutoShape 158">
          <a:extLst>
            <a:ext uri="{FF2B5EF4-FFF2-40B4-BE49-F238E27FC236}">
              <a16:creationId xmlns:a16="http://schemas.microsoft.com/office/drawing/2014/main" id="{00000000-0008-0000-0100-0000C4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5" name="AutoShape 249">
          <a:extLst>
            <a:ext uri="{FF2B5EF4-FFF2-40B4-BE49-F238E27FC236}">
              <a16:creationId xmlns:a16="http://schemas.microsoft.com/office/drawing/2014/main" id="{00000000-0008-0000-0100-0000C5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6" name="AutoShape 184">
          <a:extLst>
            <a:ext uri="{FF2B5EF4-FFF2-40B4-BE49-F238E27FC236}">
              <a16:creationId xmlns:a16="http://schemas.microsoft.com/office/drawing/2014/main" id="{00000000-0008-0000-0100-0000C6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7" name="AutoShape 185">
          <a:extLst>
            <a:ext uri="{FF2B5EF4-FFF2-40B4-BE49-F238E27FC236}">
              <a16:creationId xmlns:a16="http://schemas.microsoft.com/office/drawing/2014/main" id="{00000000-0008-0000-0100-0000C7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8" name="AutoShape 186">
          <a:extLst>
            <a:ext uri="{FF2B5EF4-FFF2-40B4-BE49-F238E27FC236}">
              <a16:creationId xmlns:a16="http://schemas.microsoft.com/office/drawing/2014/main" id="{00000000-0008-0000-0100-0000C812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23</xdr:row>
      <xdr:rowOff>0</xdr:rowOff>
    </xdr:from>
    <xdr:to>
      <xdr:col>19</xdr:col>
      <xdr:colOff>495300</xdr:colOff>
      <xdr:row>23</xdr:row>
      <xdr:rowOff>0</xdr:rowOff>
    </xdr:to>
    <xdr:sp macro="" textlink="">
      <xdr:nvSpPr>
        <xdr:cNvPr id="4809" name="AutoShape 187">
          <a:extLst>
            <a:ext uri="{FF2B5EF4-FFF2-40B4-BE49-F238E27FC236}">
              <a16:creationId xmlns:a16="http://schemas.microsoft.com/office/drawing/2014/main" id="{00000000-0008-0000-0100-0000C912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0" name="AutoShape 80">
          <a:extLst>
            <a:ext uri="{FF2B5EF4-FFF2-40B4-BE49-F238E27FC236}">
              <a16:creationId xmlns:a16="http://schemas.microsoft.com/office/drawing/2014/main" id="{00000000-0008-0000-0100-0000CA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1" name="AutoShape 84">
          <a:extLst>
            <a:ext uri="{FF2B5EF4-FFF2-40B4-BE49-F238E27FC236}">
              <a16:creationId xmlns:a16="http://schemas.microsoft.com/office/drawing/2014/main" id="{00000000-0008-0000-0100-0000CB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2" name="AutoShape 157">
          <a:extLst>
            <a:ext uri="{FF2B5EF4-FFF2-40B4-BE49-F238E27FC236}">
              <a16:creationId xmlns:a16="http://schemas.microsoft.com/office/drawing/2014/main" id="{00000000-0008-0000-0100-0000CC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3" name="AutoShape 158">
          <a:extLst>
            <a:ext uri="{FF2B5EF4-FFF2-40B4-BE49-F238E27FC236}">
              <a16:creationId xmlns:a16="http://schemas.microsoft.com/office/drawing/2014/main" id="{00000000-0008-0000-0100-0000CD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4" name="AutoShape 124">
          <a:extLst>
            <a:ext uri="{FF2B5EF4-FFF2-40B4-BE49-F238E27FC236}">
              <a16:creationId xmlns:a16="http://schemas.microsoft.com/office/drawing/2014/main" id="{00000000-0008-0000-0100-0000CE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4815" name="AutoShape 80">
          <a:extLst>
            <a:ext uri="{FF2B5EF4-FFF2-40B4-BE49-F238E27FC236}">
              <a16:creationId xmlns:a16="http://schemas.microsoft.com/office/drawing/2014/main" id="{00000000-0008-0000-0100-0000CF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6" name="AutoShape 84">
          <a:extLst>
            <a:ext uri="{FF2B5EF4-FFF2-40B4-BE49-F238E27FC236}">
              <a16:creationId xmlns:a16="http://schemas.microsoft.com/office/drawing/2014/main" id="{00000000-0008-0000-0100-0000D0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7" name="AutoShape 157">
          <a:extLst>
            <a:ext uri="{FF2B5EF4-FFF2-40B4-BE49-F238E27FC236}">
              <a16:creationId xmlns:a16="http://schemas.microsoft.com/office/drawing/2014/main" id="{00000000-0008-0000-0100-0000D1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8" name="AutoShape 158">
          <a:extLst>
            <a:ext uri="{FF2B5EF4-FFF2-40B4-BE49-F238E27FC236}">
              <a16:creationId xmlns:a16="http://schemas.microsoft.com/office/drawing/2014/main" id="{00000000-0008-0000-0100-0000D2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19" name="AutoShape 249">
          <a:extLst>
            <a:ext uri="{FF2B5EF4-FFF2-40B4-BE49-F238E27FC236}">
              <a16:creationId xmlns:a16="http://schemas.microsoft.com/office/drawing/2014/main" id="{00000000-0008-0000-0100-0000D3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20" name="AutoShape 184">
          <a:extLst>
            <a:ext uri="{FF2B5EF4-FFF2-40B4-BE49-F238E27FC236}">
              <a16:creationId xmlns:a16="http://schemas.microsoft.com/office/drawing/2014/main" id="{00000000-0008-0000-0100-0000D4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21" name="AutoShape 185">
          <a:extLst>
            <a:ext uri="{FF2B5EF4-FFF2-40B4-BE49-F238E27FC236}">
              <a16:creationId xmlns:a16="http://schemas.microsoft.com/office/drawing/2014/main" id="{00000000-0008-0000-0100-0000D5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22" name="AutoShape 186">
          <a:extLst>
            <a:ext uri="{FF2B5EF4-FFF2-40B4-BE49-F238E27FC236}">
              <a16:creationId xmlns:a16="http://schemas.microsoft.com/office/drawing/2014/main" id="{00000000-0008-0000-0100-0000D612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23" name="AutoShape 187">
          <a:extLst>
            <a:ext uri="{FF2B5EF4-FFF2-40B4-BE49-F238E27FC236}">
              <a16:creationId xmlns:a16="http://schemas.microsoft.com/office/drawing/2014/main" id="{00000000-0008-0000-0100-0000D712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24" name="AutoShape 80">
          <a:extLst>
            <a:ext uri="{FF2B5EF4-FFF2-40B4-BE49-F238E27FC236}">
              <a16:creationId xmlns:a16="http://schemas.microsoft.com/office/drawing/2014/main" id="{00000000-0008-0000-0100-0000D8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25" name="AutoShape 84">
          <a:extLst>
            <a:ext uri="{FF2B5EF4-FFF2-40B4-BE49-F238E27FC236}">
              <a16:creationId xmlns:a16="http://schemas.microsoft.com/office/drawing/2014/main" id="{00000000-0008-0000-0100-0000D9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26" name="AutoShape 157">
          <a:extLst>
            <a:ext uri="{FF2B5EF4-FFF2-40B4-BE49-F238E27FC236}">
              <a16:creationId xmlns:a16="http://schemas.microsoft.com/office/drawing/2014/main" id="{00000000-0008-0000-0100-0000DA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27" name="AutoShape 158">
          <a:extLst>
            <a:ext uri="{FF2B5EF4-FFF2-40B4-BE49-F238E27FC236}">
              <a16:creationId xmlns:a16="http://schemas.microsoft.com/office/drawing/2014/main" id="{00000000-0008-0000-0100-0000DB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28" name="AutoShape 124">
          <a:extLst>
            <a:ext uri="{FF2B5EF4-FFF2-40B4-BE49-F238E27FC236}">
              <a16:creationId xmlns:a16="http://schemas.microsoft.com/office/drawing/2014/main" id="{00000000-0008-0000-0100-0000DC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4829" name="AutoShape 80">
          <a:extLst>
            <a:ext uri="{FF2B5EF4-FFF2-40B4-BE49-F238E27FC236}">
              <a16:creationId xmlns:a16="http://schemas.microsoft.com/office/drawing/2014/main" id="{00000000-0008-0000-0100-0000DD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0" name="AutoShape 84">
          <a:extLst>
            <a:ext uri="{FF2B5EF4-FFF2-40B4-BE49-F238E27FC236}">
              <a16:creationId xmlns:a16="http://schemas.microsoft.com/office/drawing/2014/main" id="{00000000-0008-0000-0100-0000DE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1" name="AutoShape 157">
          <a:extLst>
            <a:ext uri="{FF2B5EF4-FFF2-40B4-BE49-F238E27FC236}">
              <a16:creationId xmlns:a16="http://schemas.microsoft.com/office/drawing/2014/main" id="{00000000-0008-0000-0100-0000DF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2" name="AutoShape 158">
          <a:extLst>
            <a:ext uri="{FF2B5EF4-FFF2-40B4-BE49-F238E27FC236}">
              <a16:creationId xmlns:a16="http://schemas.microsoft.com/office/drawing/2014/main" id="{00000000-0008-0000-0100-0000E0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3" name="AutoShape 249">
          <a:extLst>
            <a:ext uri="{FF2B5EF4-FFF2-40B4-BE49-F238E27FC236}">
              <a16:creationId xmlns:a16="http://schemas.microsoft.com/office/drawing/2014/main" id="{00000000-0008-0000-0100-0000E1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4" name="AutoShape 184">
          <a:extLst>
            <a:ext uri="{FF2B5EF4-FFF2-40B4-BE49-F238E27FC236}">
              <a16:creationId xmlns:a16="http://schemas.microsoft.com/office/drawing/2014/main" id="{00000000-0008-0000-0100-0000E2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5" name="AutoShape 185">
          <a:extLst>
            <a:ext uri="{FF2B5EF4-FFF2-40B4-BE49-F238E27FC236}">
              <a16:creationId xmlns:a16="http://schemas.microsoft.com/office/drawing/2014/main" id="{00000000-0008-0000-0100-0000E3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6" name="AutoShape 186">
          <a:extLst>
            <a:ext uri="{FF2B5EF4-FFF2-40B4-BE49-F238E27FC236}">
              <a16:creationId xmlns:a16="http://schemas.microsoft.com/office/drawing/2014/main" id="{00000000-0008-0000-0100-0000E412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37" name="AutoShape 187">
          <a:extLst>
            <a:ext uri="{FF2B5EF4-FFF2-40B4-BE49-F238E27FC236}">
              <a16:creationId xmlns:a16="http://schemas.microsoft.com/office/drawing/2014/main" id="{00000000-0008-0000-0100-0000E512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38" name="AutoShape 80">
          <a:extLst>
            <a:ext uri="{FF2B5EF4-FFF2-40B4-BE49-F238E27FC236}">
              <a16:creationId xmlns:a16="http://schemas.microsoft.com/office/drawing/2014/main" id="{00000000-0008-0000-0100-0000E6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39" name="AutoShape 84">
          <a:extLst>
            <a:ext uri="{FF2B5EF4-FFF2-40B4-BE49-F238E27FC236}">
              <a16:creationId xmlns:a16="http://schemas.microsoft.com/office/drawing/2014/main" id="{00000000-0008-0000-0100-0000E7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0" name="AutoShape 157">
          <a:extLst>
            <a:ext uri="{FF2B5EF4-FFF2-40B4-BE49-F238E27FC236}">
              <a16:creationId xmlns:a16="http://schemas.microsoft.com/office/drawing/2014/main" id="{00000000-0008-0000-0100-0000E8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1" name="AutoShape 158">
          <a:extLst>
            <a:ext uri="{FF2B5EF4-FFF2-40B4-BE49-F238E27FC236}">
              <a16:creationId xmlns:a16="http://schemas.microsoft.com/office/drawing/2014/main" id="{00000000-0008-0000-0100-0000E9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2" name="AutoShape 124">
          <a:extLst>
            <a:ext uri="{FF2B5EF4-FFF2-40B4-BE49-F238E27FC236}">
              <a16:creationId xmlns:a16="http://schemas.microsoft.com/office/drawing/2014/main" id="{00000000-0008-0000-0100-0000EA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4843" name="AutoShape 80">
          <a:extLst>
            <a:ext uri="{FF2B5EF4-FFF2-40B4-BE49-F238E27FC236}">
              <a16:creationId xmlns:a16="http://schemas.microsoft.com/office/drawing/2014/main" id="{00000000-0008-0000-0100-0000EB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4" name="AutoShape 84">
          <a:extLst>
            <a:ext uri="{FF2B5EF4-FFF2-40B4-BE49-F238E27FC236}">
              <a16:creationId xmlns:a16="http://schemas.microsoft.com/office/drawing/2014/main" id="{00000000-0008-0000-0100-0000EC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5" name="AutoShape 157">
          <a:extLst>
            <a:ext uri="{FF2B5EF4-FFF2-40B4-BE49-F238E27FC236}">
              <a16:creationId xmlns:a16="http://schemas.microsoft.com/office/drawing/2014/main" id="{00000000-0008-0000-0100-0000ED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6" name="AutoShape 158">
          <a:extLst>
            <a:ext uri="{FF2B5EF4-FFF2-40B4-BE49-F238E27FC236}">
              <a16:creationId xmlns:a16="http://schemas.microsoft.com/office/drawing/2014/main" id="{00000000-0008-0000-0100-0000EE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7" name="AutoShape 249">
          <a:extLst>
            <a:ext uri="{FF2B5EF4-FFF2-40B4-BE49-F238E27FC236}">
              <a16:creationId xmlns:a16="http://schemas.microsoft.com/office/drawing/2014/main" id="{00000000-0008-0000-0100-0000EF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8" name="AutoShape 184">
          <a:extLst>
            <a:ext uri="{FF2B5EF4-FFF2-40B4-BE49-F238E27FC236}">
              <a16:creationId xmlns:a16="http://schemas.microsoft.com/office/drawing/2014/main" id="{00000000-0008-0000-0100-0000F0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49" name="AutoShape 185">
          <a:extLst>
            <a:ext uri="{FF2B5EF4-FFF2-40B4-BE49-F238E27FC236}">
              <a16:creationId xmlns:a16="http://schemas.microsoft.com/office/drawing/2014/main" id="{00000000-0008-0000-0100-0000F1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50" name="AutoShape 186">
          <a:extLst>
            <a:ext uri="{FF2B5EF4-FFF2-40B4-BE49-F238E27FC236}">
              <a16:creationId xmlns:a16="http://schemas.microsoft.com/office/drawing/2014/main" id="{00000000-0008-0000-0100-0000F212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851" name="AutoShape 187">
          <a:extLst>
            <a:ext uri="{FF2B5EF4-FFF2-40B4-BE49-F238E27FC236}">
              <a16:creationId xmlns:a16="http://schemas.microsoft.com/office/drawing/2014/main" id="{00000000-0008-0000-0100-0000F312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2" name="AutoShape 80">
          <a:extLst>
            <a:ext uri="{FF2B5EF4-FFF2-40B4-BE49-F238E27FC236}">
              <a16:creationId xmlns:a16="http://schemas.microsoft.com/office/drawing/2014/main" id="{00000000-0008-0000-0100-0000F4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3" name="AutoShape 84">
          <a:extLst>
            <a:ext uri="{FF2B5EF4-FFF2-40B4-BE49-F238E27FC236}">
              <a16:creationId xmlns:a16="http://schemas.microsoft.com/office/drawing/2014/main" id="{00000000-0008-0000-0100-0000F5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4" name="AutoShape 157">
          <a:extLst>
            <a:ext uri="{FF2B5EF4-FFF2-40B4-BE49-F238E27FC236}">
              <a16:creationId xmlns:a16="http://schemas.microsoft.com/office/drawing/2014/main" id="{00000000-0008-0000-0100-0000F6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5" name="AutoShape 158">
          <a:extLst>
            <a:ext uri="{FF2B5EF4-FFF2-40B4-BE49-F238E27FC236}">
              <a16:creationId xmlns:a16="http://schemas.microsoft.com/office/drawing/2014/main" id="{00000000-0008-0000-0100-0000F7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6" name="AutoShape 124">
          <a:extLst>
            <a:ext uri="{FF2B5EF4-FFF2-40B4-BE49-F238E27FC236}">
              <a16:creationId xmlns:a16="http://schemas.microsoft.com/office/drawing/2014/main" id="{00000000-0008-0000-0100-0000F8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4857" name="AutoShape 80">
          <a:extLst>
            <a:ext uri="{FF2B5EF4-FFF2-40B4-BE49-F238E27FC236}">
              <a16:creationId xmlns:a16="http://schemas.microsoft.com/office/drawing/2014/main" id="{00000000-0008-0000-0100-0000F9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8" name="AutoShape 84">
          <a:extLst>
            <a:ext uri="{FF2B5EF4-FFF2-40B4-BE49-F238E27FC236}">
              <a16:creationId xmlns:a16="http://schemas.microsoft.com/office/drawing/2014/main" id="{00000000-0008-0000-0100-0000FA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59" name="AutoShape 157">
          <a:extLst>
            <a:ext uri="{FF2B5EF4-FFF2-40B4-BE49-F238E27FC236}">
              <a16:creationId xmlns:a16="http://schemas.microsoft.com/office/drawing/2014/main" id="{00000000-0008-0000-0100-0000FB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0" name="AutoShape 158">
          <a:extLst>
            <a:ext uri="{FF2B5EF4-FFF2-40B4-BE49-F238E27FC236}">
              <a16:creationId xmlns:a16="http://schemas.microsoft.com/office/drawing/2014/main" id="{00000000-0008-0000-0100-0000FC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1" name="AutoShape 249">
          <a:extLst>
            <a:ext uri="{FF2B5EF4-FFF2-40B4-BE49-F238E27FC236}">
              <a16:creationId xmlns:a16="http://schemas.microsoft.com/office/drawing/2014/main" id="{00000000-0008-0000-0100-0000FD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2" name="AutoShape 184">
          <a:extLst>
            <a:ext uri="{FF2B5EF4-FFF2-40B4-BE49-F238E27FC236}">
              <a16:creationId xmlns:a16="http://schemas.microsoft.com/office/drawing/2014/main" id="{00000000-0008-0000-0100-0000FE12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3" name="AutoShape 185">
          <a:extLst>
            <a:ext uri="{FF2B5EF4-FFF2-40B4-BE49-F238E27FC236}">
              <a16:creationId xmlns:a16="http://schemas.microsoft.com/office/drawing/2014/main" id="{00000000-0008-0000-0100-0000FF12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4" name="AutoShape 186">
          <a:extLst>
            <a:ext uri="{FF2B5EF4-FFF2-40B4-BE49-F238E27FC236}">
              <a16:creationId xmlns:a16="http://schemas.microsoft.com/office/drawing/2014/main" id="{00000000-0008-0000-0100-000000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865" name="AutoShape 187">
          <a:extLst>
            <a:ext uri="{FF2B5EF4-FFF2-40B4-BE49-F238E27FC236}">
              <a16:creationId xmlns:a16="http://schemas.microsoft.com/office/drawing/2014/main" id="{00000000-0008-0000-0100-000001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66" name="AutoShape 80">
          <a:extLst>
            <a:ext uri="{FF2B5EF4-FFF2-40B4-BE49-F238E27FC236}">
              <a16:creationId xmlns:a16="http://schemas.microsoft.com/office/drawing/2014/main" id="{00000000-0008-0000-0100-000002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67" name="AutoShape 84">
          <a:extLst>
            <a:ext uri="{FF2B5EF4-FFF2-40B4-BE49-F238E27FC236}">
              <a16:creationId xmlns:a16="http://schemas.microsoft.com/office/drawing/2014/main" id="{00000000-0008-0000-0100-000003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68" name="AutoShape 157">
          <a:extLst>
            <a:ext uri="{FF2B5EF4-FFF2-40B4-BE49-F238E27FC236}">
              <a16:creationId xmlns:a16="http://schemas.microsoft.com/office/drawing/2014/main" id="{00000000-0008-0000-0100-000004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69" name="AutoShape 158">
          <a:extLst>
            <a:ext uri="{FF2B5EF4-FFF2-40B4-BE49-F238E27FC236}">
              <a16:creationId xmlns:a16="http://schemas.microsoft.com/office/drawing/2014/main" id="{00000000-0008-0000-0100-000005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0" name="AutoShape 124">
          <a:extLst>
            <a:ext uri="{FF2B5EF4-FFF2-40B4-BE49-F238E27FC236}">
              <a16:creationId xmlns:a16="http://schemas.microsoft.com/office/drawing/2014/main" id="{00000000-0008-0000-0100-000006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4871" name="AutoShape 80">
          <a:extLst>
            <a:ext uri="{FF2B5EF4-FFF2-40B4-BE49-F238E27FC236}">
              <a16:creationId xmlns:a16="http://schemas.microsoft.com/office/drawing/2014/main" id="{00000000-0008-0000-0100-000007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2" name="AutoShape 84">
          <a:extLst>
            <a:ext uri="{FF2B5EF4-FFF2-40B4-BE49-F238E27FC236}">
              <a16:creationId xmlns:a16="http://schemas.microsoft.com/office/drawing/2014/main" id="{00000000-0008-0000-0100-000008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3" name="AutoShape 157">
          <a:extLst>
            <a:ext uri="{FF2B5EF4-FFF2-40B4-BE49-F238E27FC236}">
              <a16:creationId xmlns:a16="http://schemas.microsoft.com/office/drawing/2014/main" id="{00000000-0008-0000-0100-000009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4" name="AutoShape 158">
          <a:extLst>
            <a:ext uri="{FF2B5EF4-FFF2-40B4-BE49-F238E27FC236}">
              <a16:creationId xmlns:a16="http://schemas.microsoft.com/office/drawing/2014/main" id="{00000000-0008-0000-0100-00000A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5" name="AutoShape 249">
          <a:extLst>
            <a:ext uri="{FF2B5EF4-FFF2-40B4-BE49-F238E27FC236}">
              <a16:creationId xmlns:a16="http://schemas.microsoft.com/office/drawing/2014/main" id="{00000000-0008-0000-0100-00000B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6" name="AutoShape 184">
          <a:extLst>
            <a:ext uri="{FF2B5EF4-FFF2-40B4-BE49-F238E27FC236}">
              <a16:creationId xmlns:a16="http://schemas.microsoft.com/office/drawing/2014/main" id="{00000000-0008-0000-0100-00000C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7" name="AutoShape 185">
          <a:extLst>
            <a:ext uri="{FF2B5EF4-FFF2-40B4-BE49-F238E27FC236}">
              <a16:creationId xmlns:a16="http://schemas.microsoft.com/office/drawing/2014/main" id="{00000000-0008-0000-0100-00000D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8" name="AutoShape 186">
          <a:extLst>
            <a:ext uri="{FF2B5EF4-FFF2-40B4-BE49-F238E27FC236}">
              <a16:creationId xmlns:a16="http://schemas.microsoft.com/office/drawing/2014/main" id="{00000000-0008-0000-0100-00000E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879" name="AutoShape 187">
          <a:extLst>
            <a:ext uri="{FF2B5EF4-FFF2-40B4-BE49-F238E27FC236}">
              <a16:creationId xmlns:a16="http://schemas.microsoft.com/office/drawing/2014/main" id="{00000000-0008-0000-0100-00000F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0" name="AutoShape 80">
          <a:extLst>
            <a:ext uri="{FF2B5EF4-FFF2-40B4-BE49-F238E27FC236}">
              <a16:creationId xmlns:a16="http://schemas.microsoft.com/office/drawing/2014/main" id="{00000000-0008-0000-0100-000010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1" name="AutoShape 84">
          <a:extLst>
            <a:ext uri="{FF2B5EF4-FFF2-40B4-BE49-F238E27FC236}">
              <a16:creationId xmlns:a16="http://schemas.microsoft.com/office/drawing/2014/main" id="{00000000-0008-0000-0100-000011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2" name="AutoShape 157">
          <a:extLst>
            <a:ext uri="{FF2B5EF4-FFF2-40B4-BE49-F238E27FC236}">
              <a16:creationId xmlns:a16="http://schemas.microsoft.com/office/drawing/2014/main" id="{00000000-0008-0000-0100-000012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3" name="AutoShape 158">
          <a:extLst>
            <a:ext uri="{FF2B5EF4-FFF2-40B4-BE49-F238E27FC236}">
              <a16:creationId xmlns:a16="http://schemas.microsoft.com/office/drawing/2014/main" id="{00000000-0008-0000-0100-000013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4" name="AutoShape 124">
          <a:extLst>
            <a:ext uri="{FF2B5EF4-FFF2-40B4-BE49-F238E27FC236}">
              <a16:creationId xmlns:a16="http://schemas.microsoft.com/office/drawing/2014/main" id="{00000000-0008-0000-0100-000014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4885" name="AutoShape 80">
          <a:extLst>
            <a:ext uri="{FF2B5EF4-FFF2-40B4-BE49-F238E27FC236}">
              <a16:creationId xmlns:a16="http://schemas.microsoft.com/office/drawing/2014/main" id="{00000000-0008-0000-0100-000015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6" name="AutoShape 84">
          <a:extLst>
            <a:ext uri="{FF2B5EF4-FFF2-40B4-BE49-F238E27FC236}">
              <a16:creationId xmlns:a16="http://schemas.microsoft.com/office/drawing/2014/main" id="{00000000-0008-0000-0100-000016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7" name="AutoShape 157">
          <a:extLst>
            <a:ext uri="{FF2B5EF4-FFF2-40B4-BE49-F238E27FC236}">
              <a16:creationId xmlns:a16="http://schemas.microsoft.com/office/drawing/2014/main" id="{00000000-0008-0000-0100-000017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8" name="AutoShape 158">
          <a:extLst>
            <a:ext uri="{FF2B5EF4-FFF2-40B4-BE49-F238E27FC236}">
              <a16:creationId xmlns:a16="http://schemas.microsoft.com/office/drawing/2014/main" id="{00000000-0008-0000-0100-000018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89" name="AutoShape 249">
          <a:extLst>
            <a:ext uri="{FF2B5EF4-FFF2-40B4-BE49-F238E27FC236}">
              <a16:creationId xmlns:a16="http://schemas.microsoft.com/office/drawing/2014/main" id="{00000000-0008-0000-0100-000019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90" name="AutoShape 184">
          <a:extLst>
            <a:ext uri="{FF2B5EF4-FFF2-40B4-BE49-F238E27FC236}">
              <a16:creationId xmlns:a16="http://schemas.microsoft.com/office/drawing/2014/main" id="{00000000-0008-0000-0100-00001A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91" name="AutoShape 185">
          <a:extLst>
            <a:ext uri="{FF2B5EF4-FFF2-40B4-BE49-F238E27FC236}">
              <a16:creationId xmlns:a16="http://schemas.microsoft.com/office/drawing/2014/main" id="{00000000-0008-0000-0100-00001B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92" name="AutoShape 186">
          <a:extLst>
            <a:ext uri="{FF2B5EF4-FFF2-40B4-BE49-F238E27FC236}">
              <a16:creationId xmlns:a16="http://schemas.microsoft.com/office/drawing/2014/main" id="{00000000-0008-0000-0100-00001C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893" name="AutoShape 187">
          <a:extLst>
            <a:ext uri="{FF2B5EF4-FFF2-40B4-BE49-F238E27FC236}">
              <a16:creationId xmlns:a16="http://schemas.microsoft.com/office/drawing/2014/main" id="{00000000-0008-0000-0100-00001D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94" name="AutoShape 80">
          <a:extLst>
            <a:ext uri="{FF2B5EF4-FFF2-40B4-BE49-F238E27FC236}">
              <a16:creationId xmlns:a16="http://schemas.microsoft.com/office/drawing/2014/main" id="{00000000-0008-0000-0100-00001E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95" name="AutoShape 84">
          <a:extLst>
            <a:ext uri="{FF2B5EF4-FFF2-40B4-BE49-F238E27FC236}">
              <a16:creationId xmlns:a16="http://schemas.microsoft.com/office/drawing/2014/main" id="{00000000-0008-0000-0100-00001F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96" name="AutoShape 157">
          <a:extLst>
            <a:ext uri="{FF2B5EF4-FFF2-40B4-BE49-F238E27FC236}">
              <a16:creationId xmlns:a16="http://schemas.microsoft.com/office/drawing/2014/main" id="{00000000-0008-0000-0100-000020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97" name="AutoShape 158">
          <a:extLst>
            <a:ext uri="{FF2B5EF4-FFF2-40B4-BE49-F238E27FC236}">
              <a16:creationId xmlns:a16="http://schemas.microsoft.com/office/drawing/2014/main" id="{00000000-0008-0000-0100-000021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898" name="AutoShape 124">
          <a:extLst>
            <a:ext uri="{FF2B5EF4-FFF2-40B4-BE49-F238E27FC236}">
              <a16:creationId xmlns:a16="http://schemas.microsoft.com/office/drawing/2014/main" id="{00000000-0008-0000-0100-000022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4899" name="AutoShape 80">
          <a:extLst>
            <a:ext uri="{FF2B5EF4-FFF2-40B4-BE49-F238E27FC236}">
              <a16:creationId xmlns:a16="http://schemas.microsoft.com/office/drawing/2014/main" id="{00000000-0008-0000-0100-000023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0" name="AutoShape 84">
          <a:extLst>
            <a:ext uri="{FF2B5EF4-FFF2-40B4-BE49-F238E27FC236}">
              <a16:creationId xmlns:a16="http://schemas.microsoft.com/office/drawing/2014/main" id="{00000000-0008-0000-0100-000024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1" name="AutoShape 157">
          <a:extLst>
            <a:ext uri="{FF2B5EF4-FFF2-40B4-BE49-F238E27FC236}">
              <a16:creationId xmlns:a16="http://schemas.microsoft.com/office/drawing/2014/main" id="{00000000-0008-0000-0100-000025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2" name="AutoShape 158">
          <a:extLst>
            <a:ext uri="{FF2B5EF4-FFF2-40B4-BE49-F238E27FC236}">
              <a16:creationId xmlns:a16="http://schemas.microsoft.com/office/drawing/2014/main" id="{00000000-0008-0000-0100-000026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3" name="AutoShape 249">
          <a:extLst>
            <a:ext uri="{FF2B5EF4-FFF2-40B4-BE49-F238E27FC236}">
              <a16:creationId xmlns:a16="http://schemas.microsoft.com/office/drawing/2014/main" id="{00000000-0008-0000-0100-000027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4" name="AutoShape 184">
          <a:extLst>
            <a:ext uri="{FF2B5EF4-FFF2-40B4-BE49-F238E27FC236}">
              <a16:creationId xmlns:a16="http://schemas.microsoft.com/office/drawing/2014/main" id="{00000000-0008-0000-0100-000028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5" name="AutoShape 185">
          <a:extLst>
            <a:ext uri="{FF2B5EF4-FFF2-40B4-BE49-F238E27FC236}">
              <a16:creationId xmlns:a16="http://schemas.microsoft.com/office/drawing/2014/main" id="{00000000-0008-0000-0100-000029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6" name="AutoShape 186">
          <a:extLst>
            <a:ext uri="{FF2B5EF4-FFF2-40B4-BE49-F238E27FC236}">
              <a16:creationId xmlns:a16="http://schemas.microsoft.com/office/drawing/2014/main" id="{00000000-0008-0000-0100-00002A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07" name="AutoShape 187">
          <a:extLst>
            <a:ext uri="{FF2B5EF4-FFF2-40B4-BE49-F238E27FC236}">
              <a16:creationId xmlns:a16="http://schemas.microsoft.com/office/drawing/2014/main" id="{00000000-0008-0000-0100-00002B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08" name="AutoShape 80">
          <a:extLst>
            <a:ext uri="{FF2B5EF4-FFF2-40B4-BE49-F238E27FC236}">
              <a16:creationId xmlns:a16="http://schemas.microsoft.com/office/drawing/2014/main" id="{00000000-0008-0000-0100-00002C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09" name="AutoShape 84">
          <a:extLst>
            <a:ext uri="{FF2B5EF4-FFF2-40B4-BE49-F238E27FC236}">
              <a16:creationId xmlns:a16="http://schemas.microsoft.com/office/drawing/2014/main" id="{00000000-0008-0000-0100-00002D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0" name="AutoShape 157">
          <a:extLst>
            <a:ext uri="{FF2B5EF4-FFF2-40B4-BE49-F238E27FC236}">
              <a16:creationId xmlns:a16="http://schemas.microsoft.com/office/drawing/2014/main" id="{00000000-0008-0000-0100-00002E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1" name="AutoShape 158">
          <a:extLst>
            <a:ext uri="{FF2B5EF4-FFF2-40B4-BE49-F238E27FC236}">
              <a16:creationId xmlns:a16="http://schemas.microsoft.com/office/drawing/2014/main" id="{00000000-0008-0000-0100-00002F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2" name="AutoShape 124">
          <a:extLst>
            <a:ext uri="{FF2B5EF4-FFF2-40B4-BE49-F238E27FC236}">
              <a16:creationId xmlns:a16="http://schemas.microsoft.com/office/drawing/2014/main" id="{00000000-0008-0000-0100-000030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4913" name="AutoShape 80">
          <a:extLst>
            <a:ext uri="{FF2B5EF4-FFF2-40B4-BE49-F238E27FC236}">
              <a16:creationId xmlns:a16="http://schemas.microsoft.com/office/drawing/2014/main" id="{00000000-0008-0000-0100-000031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4" name="AutoShape 84">
          <a:extLst>
            <a:ext uri="{FF2B5EF4-FFF2-40B4-BE49-F238E27FC236}">
              <a16:creationId xmlns:a16="http://schemas.microsoft.com/office/drawing/2014/main" id="{00000000-0008-0000-0100-000032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5" name="AutoShape 157">
          <a:extLst>
            <a:ext uri="{FF2B5EF4-FFF2-40B4-BE49-F238E27FC236}">
              <a16:creationId xmlns:a16="http://schemas.microsoft.com/office/drawing/2014/main" id="{00000000-0008-0000-0100-000033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6" name="AutoShape 158">
          <a:extLst>
            <a:ext uri="{FF2B5EF4-FFF2-40B4-BE49-F238E27FC236}">
              <a16:creationId xmlns:a16="http://schemas.microsoft.com/office/drawing/2014/main" id="{00000000-0008-0000-0100-000034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7" name="AutoShape 249">
          <a:extLst>
            <a:ext uri="{FF2B5EF4-FFF2-40B4-BE49-F238E27FC236}">
              <a16:creationId xmlns:a16="http://schemas.microsoft.com/office/drawing/2014/main" id="{00000000-0008-0000-0100-000035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8" name="AutoShape 184">
          <a:extLst>
            <a:ext uri="{FF2B5EF4-FFF2-40B4-BE49-F238E27FC236}">
              <a16:creationId xmlns:a16="http://schemas.microsoft.com/office/drawing/2014/main" id="{00000000-0008-0000-0100-000036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19" name="AutoShape 185">
          <a:extLst>
            <a:ext uri="{FF2B5EF4-FFF2-40B4-BE49-F238E27FC236}">
              <a16:creationId xmlns:a16="http://schemas.microsoft.com/office/drawing/2014/main" id="{00000000-0008-0000-0100-000037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20" name="AutoShape 186">
          <a:extLst>
            <a:ext uri="{FF2B5EF4-FFF2-40B4-BE49-F238E27FC236}">
              <a16:creationId xmlns:a16="http://schemas.microsoft.com/office/drawing/2014/main" id="{00000000-0008-0000-0100-000038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21" name="AutoShape 187">
          <a:extLst>
            <a:ext uri="{FF2B5EF4-FFF2-40B4-BE49-F238E27FC236}">
              <a16:creationId xmlns:a16="http://schemas.microsoft.com/office/drawing/2014/main" id="{00000000-0008-0000-0100-000039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2" name="AutoShape 80">
          <a:extLst>
            <a:ext uri="{FF2B5EF4-FFF2-40B4-BE49-F238E27FC236}">
              <a16:creationId xmlns:a16="http://schemas.microsoft.com/office/drawing/2014/main" id="{00000000-0008-0000-0100-00003A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3" name="AutoShape 84">
          <a:extLst>
            <a:ext uri="{FF2B5EF4-FFF2-40B4-BE49-F238E27FC236}">
              <a16:creationId xmlns:a16="http://schemas.microsoft.com/office/drawing/2014/main" id="{00000000-0008-0000-0100-00003B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4" name="AutoShape 157">
          <a:extLst>
            <a:ext uri="{FF2B5EF4-FFF2-40B4-BE49-F238E27FC236}">
              <a16:creationId xmlns:a16="http://schemas.microsoft.com/office/drawing/2014/main" id="{00000000-0008-0000-0100-00003C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5" name="AutoShape 158">
          <a:extLst>
            <a:ext uri="{FF2B5EF4-FFF2-40B4-BE49-F238E27FC236}">
              <a16:creationId xmlns:a16="http://schemas.microsoft.com/office/drawing/2014/main" id="{00000000-0008-0000-0100-00003D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6" name="AutoShape 124">
          <a:extLst>
            <a:ext uri="{FF2B5EF4-FFF2-40B4-BE49-F238E27FC236}">
              <a16:creationId xmlns:a16="http://schemas.microsoft.com/office/drawing/2014/main" id="{00000000-0008-0000-0100-00003E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4927" name="AutoShape 80">
          <a:extLst>
            <a:ext uri="{FF2B5EF4-FFF2-40B4-BE49-F238E27FC236}">
              <a16:creationId xmlns:a16="http://schemas.microsoft.com/office/drawing/2014/main" id="{00000000-0008-0000-0100-00003F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8" name="AutoShape 84">
          <a:extLst>
            <a:ext uri="{FF2B5EF4-FFF2-40B4-BE49-F238E27FC236}">
              <a16:creationId xmlns:a16="http://schemas.microsoft.com/office/drawing/2014/main" id="{00000000-0008-0000-0100-000040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29" name="AutoShape 157">
          <a:extLst>
            <a:ext uri="{FF2B5EF4-FFF2-40B4-BE49-F238E27FC236}">
              <a16:creationId xmlns:a16="http://schemas.microsoft.com/office/drawing/2014/main" id="{00000000-0008-0000-0100-000041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0" name="AutoShape 158">
          <a:extLst>
            <a:ext uri="{FF2B5EF4-FFF2-40B4-BE49-F238E27FC236}">
              <a16:creationId xmlns:a16="http://schemas.microsoft.com/office/drawing/2014/main" id="{00000000-0008-0000-0100-000042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1" name="AutoShape 249">
          <a:extLst>
            <a:ext uri="{FF2B5EF4-FFF2-40B4-BE49-F238E27FC236}">
              <a16:creationId xmlns:a16="http://schemas.microsoft.com/office/drawing/2014/main" id="{00000000-0008-0000-0100-000043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2" name="AutoShape 184">
          <a:extLst>
            <a:ext uri="{FF2B5EF4-FFF2-40B4-BE49-F238E27FC236}">
              <a16:creationId xmlns:a16="http://schemas.microsoft.com/office/drawing/2014/main" id="{00000000-0008-0000-0100-000044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3" name="AutoShape 185">
          <a:extLst>
            <a:ext uri="{FF2B5EF4-FFF2-40B4-BE49-F238E27FC236}">
              <a16:creationId xmlns:a16="http://schemas.microsoft.com/office/drawing/2014/main" id="{00000000-0008-0000-0100-000045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4" name="AutoShape 186">
          <a:extLst>
            <a:ext uri="{FF2B5EF4-FFF2-40B4-BE49-F238E27FC236}">
              <a16:creationId xmlns:a16="http://schemas.microsoft.com/office/drawing/2014/main" id="{00000000-0008-0000-0100-000046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4935" name="AutoShape 187">
          <a:extLst>
            <a:ext uri="{FF2B5EF4-FFF2-40B4-BE49-F238E27FC236}">
              <a16:creationId xmlns:a16="http://schemas.microsoft.com/office/drawing/2014/main" id="{00000000-0008-0000-0100-000047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36" name="AutoShape 80">
          <a:extLst>
            <a:ext uri="{FF2B5EF4-FFF2-40B4-BE49-F238E27FC236}">
              <a16:creationId xmlns:a16="http://schemas.microsoft.com/office/drawing/2014/main" id="{00000000-0008-0000-0100-000048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37" name="AutoShape 84">
          <a:extLst>
            <a:ext uri="{FF2B5EF4-FFF2-40B4-BE49-F238E27FC236}">
              <a16:creationId xmlns:a16="http://schemas.microsoft.com/office/drawing/2014/main" id="{00000000-0008-0000-0100-000049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38" name="AutoShape 157">
          <a:extLst>
            <a:ext uri="{FF2B5EF4-FFF2-40B4-BE49-F238E27FC236}">
              <a16:creationId xmlns:a16="http://schemas.microsoft.com/office/drawing/2014/main" id="{00000000-0008-0000-0100-00004A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39" name="AutoShape 158">
          <a:extLst>
            <a:ext uri="{FF2B5EF4-FFF2-40B4-BE49-F238E27FC236}">
              <a16:creationId xmlns:a16="http://schemas.microsoft.com/office/drawing/2014/main" id="{00000000-0008-0000-0100-00004B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0" name="AutoShape 124">
          <a:extLst>
            <a:ext uri="{FF2B5EF4-FFF2-40B4-BE49-F238E27FC236}">
              <a16:creationId xmlns:a16="http://schemas.microsoft.com/office/drawing/2014/main" id="{00000000-0008-0000-0100-00004C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4941" name="AutoShape 80">
          <a:extLst>
            <a:ext uri="{FF2B5EF4-FFF2-40B4-BE49-F238E27FC236}">
              <a16:creationId xmlns:a16="http://schemas.microsoft.com/office/drawing/2014/main" id="{00000000-0008-0000-0100-00004D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2" name="AutoShape 84">
          <a:extLst>
            <a:ext uri="{FF2B5EF4-FFF2-40B4-BE49-F238E27FC236}">
              <a16:creationId xmlns:a16="http://schemas.microsoft.com/office/drawing/2014/main" id="{00000000-0008-0000-0100-00004E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3" name="AutoShape 157">
          <a:extLst>
            <a:ext uri="{FF2B5EF4-FFF2-40B4-BE49-F238E27FC236}">
              <a16:creationId xmlns:a16="http://schemas.microsoft.com/office/drawing/2014/main" id="{00000000-0008-0000-0100-00004F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4" name="AutoShape 158">
          <a:extLst>
            <a:ext uri="{FF2B5EF4-FFF2-40B4-BE49-F238E27FC236}">
              <a16:creationId xmlns:a16="http://schemas.microsoft.com/office/drawing/2014/main" id="{00000000-0008-0000-0100-000050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5" name="AutoShape 249">
          <a:extLst>
            <a:ext uri="{FF2B5EF4-FFF2-40B4-BE49-F238E27FC236}">
              <a16:creationId xmlns:a16="http://schemas.microsoft.com/office/drawing/2014/main" id="{00000000-0008-0000-0100-000051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6" name="AutoShape 184">
          <a:extLst>
            <a:ext uri="{FF2B5EF4-FFF2-40B4-BE49-F238E27FC236}">
              <a16:creationId xmlns:a16="http://schemas.microsoft.com/office/drawing/2014/main" id="{00000000-0008-0000-0100-000052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7" name="AutoShape 185">
          <a:extLst>
            <a:ext uri="{FF2B5EF4-FFF2-40B4-BE49-F238E27FC236}">
              <a16:creationId xmlns:a16="http://schemas.microsoft.com/office/drawing/2014/main" id="{00000000-0008-0000-0100-000053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8" name="AutoShape 186">
          <a:extLst>
            <a:ext uri="{FF2B5EF4-FFF2-40B4-BE49-F238E27FC236}">
              <a16:creationId xmlns:a16="http://schemas.microsoft.com/office/drawing/2014/main" id="{00000000-0008-0000-0100-000054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49" name="AutoShape 187">
          <a:extLst>
            <a:ext uri="{FF2B5EF4-FFF2-40B4-BE49-F238E27FC236}">
              <a16:creationId xmlns:a16="http://schemas.microsoft.com/office/drawing/2014/main" id="{00000000-0008-0000-0100-000055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0" name="AutoShape 80">
          <a:extLst>
            <a:ext uri="{FF2B5EF4-FFF2-40B4-BE49-F238E27FC236}">
              <a16:creationId xmlns:a16="http://schemas.microsoft.com/office/drawing/2014/main" id="{00000000-0008-0000-0100-000056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1" name="AutoShape 84">
          <a:extLst>
            <a:ext uri="{FF2B5EF4-FFF2-40B4-BE49-F238E27FC236}">
              <a16:creationId xmlns:a16="http://schemas.microsoft.com/office/drawing/2014/main" id="{00000000-0008-0000-0100-000057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2" name="AutoShape 157">
          <a:extLst>
            <a:ext uri="{FF2B5EF4-FFF2-40B4-BE49-F238E27FC236}">
              <a16:creationId xmlns:a16="http://schemas.microsoft.com/office/drawing/2014/main" id="{00000000-0008-0000-0100-000058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3" name="AutoShape 158">
          <a:extLst>
            <a:ext uri="{FF2B5EF4-FFF2-40B4-BE49-F238E27FC236}">
              <a16:creationId xmlns:a16="http://schemas.microsoft.com/office/drawing/2014/main" id="{00000000-0008-0000-0100-000059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4" name="AutoShape 124">
          <a:extLst>
            <a:ext uri="{FF2B5EF4-FFF2-40B4-BE49-F238E27FC236}">
              <a16:creationId xmlns:a16="http://schemas.microsoft.com/office/drawing/2014/main" id="{00000000-0008-0000-0100-00005A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4955" name="AutoShape 80">
          <a:extLst>
            <a:ext uri="{FF2B5EF4-FFF2-40B4-BE49-F238E27FC236}">
              <a16:creationId xmlns:a16="http://schemas.microsoft.com/office/drawing/2014/main" id="{00000000-0008-0000-0100-00005B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6" name="AutoShape 84">
          <a:extLst>
            <a:ext uri="{FF2B5EF4-FFF2-40B4-BE49-F238E27FC236}">
              <a16:creationId xmlns:a16="http://schemas.microsoft.com/office/drawing/2014/main" id="{00000000-0008-0000-0100-00005C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7" name="AutoShape 157">
          <a:extLst>
            <a:ext uri="{FF2B5EF4-FFF2-40B4-BE49-F238E27FC236}">
              <a16:creationId xmlns:a16="http://schemas.microsoft.com/office/drawing/2014/main" id="{00000000-0008-0000-0100-00005D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8" name="AutoShape 158">
          <a:extLst>
            <a:ext uri="{FF2B5EF4-FFF2-40B4-BE49-F238E27FC236}">
              <a16:creationId xmlns:a16="http://schemas.microsoft.com/office/drawing/2014/main" id="{00000000-0008-0000-0100-00005E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59" name="AutoShape 249">
          <a:extLst>
            <a:ext uri="{FF2B5EF4-FFF2-40B4-BE49-F238E27FC236}">
              <a16:creationId xmlns:a16="http://schemas.microsoft.com/office/drawing/2014/main" id="{00000000-0008-0000-0100-00005F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60" name="AutoShape 184">
          <a:extLst>
            <a:ext uri="{FF2B5EF4-FFF2-40B4-BE49-F238E27FC236}">
              <a16:creationId xmlns:a16="http://schemas.microsoft.com/office/drawing/2014/main" id="{00000000-0008-0000-0100-000060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61" name="AutoShape 185">
          <a:extLst>
            <a:ext uri="{FF2B5EF4-FFF2-40B4-BE49-F238E27FC236}">
              <a16:creationId xmlns:a16="http://schemas.microsoft.com/office/drawing/2014/main" id="{00000000-0008-0000-0100-000061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62" name="AutoShape 186">
          <a:extLst>
            <a:ext uri="{FF2B5EF4-FFF2-40B4-BE49-F238E27FC236}">
              <a16:creationId xmlns:a16="http://schemas.microsoft.com/office/drawing/2014/main" id="{00000000-0008-0000-0100-000062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4963" name="AutoShape 187">
          <a:extLst>
            <a:ext uri="{FF2B5EF4-FFF2-40B4-BE49-F238E27FC236}">
              <a16:creationId xmlns:a16="http://schemas.microsoft.com/office/drawing/2014/main" id="{00000000-0008-0000-0100-000063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64" name="AutoShape 80">
          <a:extLst>
            <a:ext uri="{FF2B5EF4-FFF2-40B4-BE49-F238E27FC236}">
              <a16:creationId xmlns:a16="http://schemas.microsoft.com/office/drawing/2014/main" id="{00000000-0008-0000-0100-000064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65" name="AutoShape 84">
          <a:extLst>
            <a:ext uri="{FF2B5EF4-FFF2-40B4-BE49-F238E27FC236}">
              <a16:creationId xmlns:a16="http://schemas.microsoft.com/office/drawing/2014/main" id="{00000000-0008-0000-0100-000065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66" name="AutoShape 157">
          <a:extLst>
            <a:ext uri="{FF2B5EF4-FFF2-40B4-BE49-F238E27FC236}">
              <a16:creationId xmlns:a16="http://schemas.microsoft.com/office/drawing/2014/main" id="{00000000-0008-0000-0100-000066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67" name="AutoShape 158">
          <a:extLst>
            <a:ext uri="{FF2B5EF4-FFF2-40B4-BE49-F238E27FC236}">
              <a16:creationId xmlns:a16="http://schemas.microsoft.com/office/drawing/2014/main" id="{00000000-0008-0000-0100-000067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68" name="AutoShape 124">
          <a:extLst>
            <a:ext uri="{FF2B5EF4-FFF2-40B4-BE49-F238E27FC236}">
              <a16:creationId xmlns:a16="http://schemas.microsoft.com/office/drawing/2014/main" id="{00000000-0008-0000-0100-000068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20</xdr:col>
      <xdr:colOff>0</xdr:colOff>
      <xdr:row>30</xdr:row>
      <xdr:rowOff>0</xdr:rowOff>
    </xdr:to>
    <xdr:sp macro="" textlink="">
      <xdr:nvSpPr>
        <xdr:cNvPr id="4969" name="AutoShape 80">
          <a:extLst>
            <a:ext uri="{FF2B5EF4-FFF2-40B4-BE49-F238E27FC236}">
              <a16:creationId xmlns:a16="http://schemas.microsoft.com/office/drawing/2014/main" id="{00000000-0008-0000-0100-000069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0" name="AutoShape 84">
          <a:extLst>
            <a:ext uri="{FF2B5EF4-FFF2-40B4-BE49-F238E27FC236}">
              <a16:creationId xmlns:a16="http://schemas.microsoft.com/office/drawing/2014/main" id="{00000000-0008-0000-0100-00006A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1" name="AutoShape 157">
          <a:extLst>
            <a:ext uri="{FF2B5EF4-FFF2-40B4-BE49-F238E27FC236}">
              <a16:creationId xmlns:a16="http://schemas.microsoft.com/office/drawing/2014/main" id="{00000000-0008-0000-0100-00006B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2" name="AutoShape 158">
          <a:extLst>
            <a:ext uri="{FF2B5EF4-FFF2-40B4-BE49-F238E27FC236}">
              <a16:creationId xmlns:a16="http://schemas.microsoft.com/office/drawing/2014/main" id="{00000000-0008-0000-0100-00006C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3" name="AutoShape 249">
          <a:extLst>
            <a:ext uri="{FF2B5EF4-FFF2-40B4-BE49-F238E27FC236}">
              <a16:creationId xmlns:a16="http://schemas.microsoft.com/office/drawing/2014/main" id="{00000000-0008-0000-0100-00006D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4" name="AutoShape 184">
          <a:extLst>
            <a:ext uri="{FF2B5EF4-FFF2-40B4-BE49-F238E27FC236}">
              <a16:creationId xmlns:a16="http://schemas.microsoft.com/office/drawing/2014/main" id="{00000000-0008-0000-0100-00006E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5" name="AutoShape 185">
          <a:extLst>
            <a:ext uri="{FF2B5EF4-FFF2-40B4-BE49-F238E27FC236}">
              <a16:creationId xmlns:a16="http://schemas.microsoft.com/office/drawing/2014/main" id="{00000000-0008-0000-0100-00006F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6" name="AutoShape 186">
          <a:extLst>
            <a:ext uri="{FF2B5EF4-FFF2-40B4-BE49-F238E27FC236}">
              <a16:creationId xmlns:a16="http://schemas.microsoft.com/office/drawing/2014/main" id="{00000000-0008-0000-0100-00007013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30</xdr:row>
      <xdr:rowOff>0</xdr:rowOff>
    </xdr:from>
    <xdr:to>
      <xdr:col>19</xdr:col>
      <xdr:colOff>495300</xdr:colOff>
      <xdr:row>30</xdr:row>
      <xdr:rowOff>0</xdr:rowOff>
    </xdr:to>
    <xdr:sp macro="" textlink="">
      <xdr:nvSpPr>
        <xdr:cNvPr id="4977" name="AutoShape 187">
          <a:extLst>
            <a:ext uri="{FF2B5EF4-FFF2-40B4-BE49-F238E27FC236}">
              <a16:creationId xmlns:a16="http://schemas.microsoft.com/office/drawing/2014/main" id="{00000000-0008-0000-0100-00007113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78" name="AutoShape 80">
          <a:extLst>
            <a:ext uri="{FF2B5EF4-FFF2-40B4-BE49-F238E27FC236}">
              <a16:creationId xmlns:a16="http://schemas.microsoft.com/office/drawing/2014/main" id="{00000000-0008-0000-0100-000072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79" name="AutoShape 84">
          <a:extLst>
            <a:ext uri="{FF2B5EF4-FFF2-40B4-BE49-F238E27FC236}">
              <a16:creationId xmlns:a16="http://schemas.microsoft.com/office/drawing/2014/main" id="{00000000-0008-0000-0100-000073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0" name="AutoShape 157">
          <a:extLst>
            <a:ext uri="{FF2B5EF4-FFF2-40B4-BE49-F238E27FC236}">
              <a16:creationId xmlns:a16="http://schemas.microsoft.com/office/drawing/2014/main" id="{00000000-0008-0000-0100-000074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1" name="AutoShape 158">
          <a:extLst>
            <a:ext uri="{FF2B5EF4-FFF2-40B4-BE49-F238E27FC236}">
              <a16:creationId xmlns:a16="http://schemas.microsoft.com/office/drawing/2014/main" id="{00000000-0008-0000-0100-000075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2" name="AutoShape 124">
          <a:extLst>
            <a:ext uri="{FF2B5EF4-FFF2-40B4-BE49-F238E27FC236}">
              <a16:creationId xmlns:a16="http://schemas.microsoft.com/office/drawing/2014/main" id="{00000000-0008-0000-0100-000076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4983" name="AutoShape 80">
          <a:extLst>
            <a:ext uri="{FF2B5EF4-FFF2-40B4-BE49-F238E27FC236}">
              <a16:creationId xmlns:a16="http://schemas.microsoft.com/office/drawing/2014/main" id="{00000000-0008-0000-0100-000077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4" name="AutoShape 84">
          <a:extLst>
            <a:ext uri="{FF2B5EF4-FFF2-40B4-BE49-F238E27FC236}">
              <a16:creationId xmlns:a16="http://schemas.microsoft.com/office/drawing/2014/main" id="{00000000-0008-0000-0100-000078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5" name="AutoShape 157">
          <a:extLst>
            <a:ext uri="{FF2B5EF4-FFF2-40B4-BE49-F238E27FC236}">
              <a16:creationId xmlns:a16="http://schemas.microsoft.com/office/drawing/2014/main" id="{00000000-0008-0000-0100-000079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6" name="AutoShape 158">
          <a:extLst>
            <a:ext uri="{FF2B5EF4-FFF2-40B4-BE49-F238E27FC236}">
              <a16:creationId xmlns:a16="http://schemas.microsoft.com/office/drawing/2014/main" id="{00000000-0008-0000-0100-00007A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7" name="AutoShape 249">
          <a:extLst>
            <a:ext uri="{FF2B5EF4-FFF2-40B4-BE49-F238E27FC236}">
              <a16:creationId xmlns:a16="http://schemas.microsoft.com/office/drawing/2014/main" id="{00000000-0008-0000-0100-00007B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8" name="AutoShape 184">
          <a:extLst>
            <a:ext uri="{FF2B5EF4-FFF2-40B4-BE49-F238E27FC236}">
              <a16:creationId xmlns:a16="http://schemas.microsoft.com/office/drawing/2014/main" id="{00000000-0008-0000-0100-00007C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89" name="AutoShape 185">
          <a:extLst>
            <a:ext uri="{FF2B5EF4-FFF2-40B4-BE49-F238E27FC236}">
              <a16:creationId xmlns:a16="http://schemas.microsoft.com/office/drawing/2014/main" id="{00000000-0008-0000-0100-00007D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90" name="AutoShape 186">
          <a:extLst>
            <a:ext uri="{FF2B5EF4-FFF2-40B4-BE49-F238E27FC236}">
              <a16:creationId xmlns:a16="http://schemas.microsoft.com/office/drawing/2014/main" id="{00000000-0008-0000-0100-00007E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4991" name="AutoShape 187">
          <a:extLst>
            <a:ext uri="{FF2B5EF4-FFF2-40B4-BE49-F238E27FC236}">
              <a16:creationId xmlns:a16="http://schemas.microsoft.com/office/drawing/2014/main" id="{00000000-0008-0000-0100-00007F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2" name="AutoShape 80">
          <a:extLst>
            <a:ext uri="{FF2B5EF4-FFF2-40B4-BE49-F238E27FC236}">
              <a16:creationId xmlns:a16="http://schemas.microsoft.com/office/drawing/2014/main" id="{00000000-0008-0000-0100-000080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3" name="AutoShape 84">
          <a:extLst>
            <a:ext uri="{FF2B5EF4-FFF2-40B4-BE49-F238E27FC236}">
              <a16:creationId xmlns:a16="http://schemas.microsoft.com/office/drawing/2014/main" id="{00000000-0008-0000-0100-000081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4" name="AutoShape 157">
          <a:extLst>
            <a:ext uri="{FF2B5EF4-FFF2-40B4-BE49-F238E27FC236}">
              <a16:creationId xmlns:a16="http://schemas.microsoft.com/office/drawing/2014/main" id="{00000000-0008-0000-0100-000082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5" name="AutoShape 158">
          <a:extLst>
            <a:ext uri="{FF2B5EF4-FFF2-40B4-BE49-F238E27FC236}">
              <a16:creationId xmlns:a16="http://schemas.microsoft.com/office/drawing/2014/main" id="{00000000-0008-0000-0100-000083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6" name="AutoShape 124">
          <a:extLst>
            <a:ext uri="{FF2B5EF4-FFF2-40B4-BE49-F238E27FC236}">
              <a16:creationId xmlns:a16="http://schemas.microsoft.com/office/drawing/2014/main" id="{00000000-0008-0000-0100-000084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4997" name="AutoShape 80">
          <a:extLst>
            <a:ext uri="{FF2B5EF4-FFF2-40B4-BE49-F238E27FC236}">
              <a16:creationId xmlns:a16="http://schemas.microsoft.com/office/drawing/2014/main" id="{00000000-0008-0000-0100-000085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8" name="AutoShape 84">
          <a:extLst>
            <a:ext uri="{FF2B5EF4-FFF2-40B4-BE49-F238E27FC236}">
              <a16:creationId xmlns:a16="http://schemas.microsoft.com/office/drawing/2014/main" id="{00000000-0008-0000-0100-000086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4999" name="AutoShape 157">
          <a:extLst>
            <a:ext uri="{FF2B5EF4-FFF2-40B4-BE49-F238E27FC236}">
              <a16:creationId xmlns:a16="http://schemas.microsoft.com/office/drawing/2014/main" id="{00000000-0008-0000-0100-000087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0" name="AutoShape 158">
          <a:extLst>
            <a:ext uri="{FF2B5EF4-FFF2-40B4-BE49-F238E27FC236}">
              <a16:creationId xmlns:a16="http://schemas.microsoft.com/office/drawing/2014/main" id="{00000000-0008-0000-0100-000088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1" name="AutoShape 249">
          <a:extLst>
            <a:ext uri="{FF2B5EF4-FFF2-40B4-BE49-F238E27FC236}">
              <a16:creationId xmlns:a16="http://schemas.microsoft.com/office/drawing/2014/main" id="{00000000-0008-0000-0100-000089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2" name="AutoShape 184">
          <a:extLst>
            <a:ext uri="{FF2B5EF4-FFF2-40B4-BE49-F238E27FC236}">
              <a16:creationId xmlns:a16="http://schemas.microsoft.com/office/drawing/2014/main" id="{00000000-0008-0000-0100-00008A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3" name="AutoShape 185">
          <a:extLst>
            <a:ext uri="{FF2B5EF4-FFF2-40B4-BE49-F238E27FC236}">
              <a16:creationId xmlns:a16="http://schemas.microsoft.com/office/drawing/2014/main" id="{00000000-0008-0000-0100-00008B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4" name="AutoShape 186">
          <a:extLst>
            <a:ext uri="{FF2B5EF4-FFF2-40B4-BE49-F238E27FC236}">
              <a16:creationId xmlns:a16="http://schemas.microsoft.com/office/drawing/2014/main" id="{00000000-0008-0000-0100-00008C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05" name="AutoShape 187">
          <a:extLst>
            <a:ext uri="{FF2B5EF4-FFF2-40B4-BE49-F238E27FC236}">
              <a16:creationId xmlns:a16="http://schemas.microsoft.com/office/drawing/2014/main" id="{00000000-0008-0000-0100-00008D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06" name="AutoShape 80">
          <a:extLst>
            <a:ext uri="{FF2B5EF4-FFF2-40B4-BE49-F238E27FC236}">
              <a16:creationId xmlns:a16="http://schemas.microsoft.com/office/drawing/2014/main" id="{00000000-0008-0000-0100-00008E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07" name="AutoShape 84">
          <a:extLst>
            <a:ext uri="{FF2B5EF4-FFF2-40B4-BE49-F238E27FC236}">
              <a16:creationId xmlns:a16="http://schemas.microsoft.com/office/drawing/2014/main" id="{00000000-0008-0000-0100-00008F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08" name="AutoShape 157">
          <a:extLst>
            <a:ext uri="{FF2B5EF4-FFF2-40B4-BE49-F238E27FC236}">
              <a16:creationId xmlns:a16="http://schemas.microsoft.com/office/drawing/2014/main" id="{00000000-0008-0000-0100-000090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09" name="AutoShape 158">
          <a:extLst>
            <a:ext uri="{FF2B5EF4-FFF2-40B4-BE49-F238E27FC236}">
              <a16:creationId xmlns:a16="http://schemas.microsoft.com/office/drawing/2014/main" id="{00000000-0008-0000-0100-000091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0" name="AutoShape 124">
          <a:extLst>
            <a:ext uri="{FF2B5EF4-FFF2-40B4-BE49-F238E27FC236}">
              <a16:creationId xmlns:a16="http://schemas.microsoft.com/office/drawing/2014/main" id="{00000000-0008-0000-0100-000092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5011" name="AutoShape 80">
          <a:extLst>
            <a:ext uri="{FF2B5EF4-FFF2-40B4-BE49-F238E27FC236}">
              <a16:creationId xmlns:a16="http://schemas.microsoft.com/office/drawing/2014/main" id="{00000000-0008-0000-0100-000093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2" name="AutoShape 84">
          <a:extLst>
            <a:ext uri="{FF2B5EF4-FFF2-40B4-BE49-F238E27FC236}">
              <a16:creationId xmlns:a16="http://schemas.microsoft.com/office/drawing/2014/main" id="{00000000-0008-0000-0100-000094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3" name="AutoShape 157">
          <a:extLst>
            <a:ext uri="{FF2B5EF4-FFF2-40B4-BE49-F238E27FC236}">
              <a16:creationId xmlns:a16="http://schemas.microsoft.com/office/drawing/2014/main" id="{00000000-0008-0000-0100-000095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4" name="AutoShape 158">
          <a:extLst>
            <a:ext uri="{FF2B5EF4-FFF2-40B4-BE49-F238E27FC236}">
              <a16:creationId xmlns:a16="http://schemas.microsoft.com/office/drawing/2014/main" id="{00000000-0008-0000-0100-000096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5" name="AutoShape 249">
          <a:extLst>
            <a:ext uri="{FF2B5EF4-FFF2-40B4-BE49-F238E27FC236}">
              <a16:creationId xmlns:a16="http://schemas.microsoft.com/office/drawing/2014/main" id="{00000000-0008-0000-0100-000097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6" name="AutoShape 184">
          <a:extLst>
            <a:ext uri="{FF2B5EF4-FFF2-40B4-BE49-F238E27FC236}">
              <a16:creationId xmlns:a16="http://schemas.microsoft.com/office/drawing/2014/main" id="{00000000-0008-0000-0100-000098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7" name="AutoShape 185">
          <a:extLst>
            <a:ext uri="{FF2B5EF4-FFF2-40B4-BE49-F238E27FC236}">
              <a16:creationId xmlns:a16="http://schemas.microsoft.com/office/drawing/2014/main" id="{00000000-0008-0000-0100-000099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8" name="AutoShape 186">
          <a:extLst>
            <a:ext uri="{FF2B5EF4-FFF2-40B4-BE49-F238E27FC236}">
              <a16:creationId xmlns:a16="http://schemas.microsoft.com/office/drawing/2014/main" id="{00000000-0008-0000-0100-00009A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019" name="AutoShape 187">
          <a:extLst>
            <a:ext uri="{FF2B5EF4-FFF2-40B4-BE49-F238E27FC236}">
              <a16:creationId xmlns:a16="http://schemas.microsoft.com/office/drawing/2014/main" id="{00000000-0008-0000-0100-00009B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0" name="AutoShape 80">
          <a:extLst>
            <a:ext uri="{FF2B5EF4-FFF2-40B4-BE49-F238E27FC236}">
              <a16:creationId xmlns:a16="http://schemas.microsoft.com/office/drawing/2014/main" id="{00000000-0008-0000-0100-00009C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1" name="AutoShape 84">
          <a:extLst>
            <a:ext uri="{FF2B5EF4-FFF2-40B4-BE49-F238E27FC236}">
              <a16:creationId xmlns:a16="http://schemas.microsoft.com/office/drawing/2014/main" id="{00000000-0008-0000-0100-00009D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2" name="AutoShape 157">
          <a:extLst>
            <a:ext uri="{FF2B5EF4-FFF2-40B4-BE49-F238E27FC236}">
              <a16:creationId xmlns:a16="http://schemas.microsoft.com/office/drawing/2014/main" id="{00000000-0008-0000-0100-00009E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3" name="AutoShape 158">
          <a:extLst>
            <a:ext uri="{FF2B5EF4-FFF2-40B4-BE49-F238E27FC236}">
              <a16:creationId xmlns:a16="http://schemas.microsoft.com/office/drawing/2014/main" id="{00000000-0008-0000-0100-00009F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4" name="AutoShape 124">
          <a:extLst>
            <a:ext uri="{FF2B5EF4-FFF2-40B4-BE49-F238E27FC236}">
              <a16:creationId xmlns:a16="http://schemas.microsoft.com/office/drawing/2014/main" id="{00000000-0008-0000-0100-0000A0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5025" name="AutoShape 80">
          <a:extLst>
            <a:ext uri="{FF2B5EF4-FFF2-40B4-BE49-F238E27FC236}">
              <a16:creationId xmlns:a16="http://schemas.microsoft.com/office/drawing/2014/main" id="{00000000-0008-0000-0100-0000A1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6" name="AutoShape 84">
          <a:extLst>
            <a:ext uri="{FF2B5EF4-FFF2-40B4-BE49-F238E27FC236}">
              <a16:creationId xmlns:a16="http://schemas.microsoft.com/office/drawing/2014/main" id="{00000000-0008-0000-0100-0000A2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7" name="AutoShape 157">
          <a:extLst>
            <a:ext uri="{FF2B5EF4-FFF2-40B4-BE49-F238E27FC236}">
              <a16:creationId xmlns:a16="http://schemas.microsoft.com/office/drawing/2014/main" id="{00000000-0008-0000-0100-0000A3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8" name="AutoShape 158">
          <a:extLst>
            <a:ext uri="{FF2B5EF4-FFF2-40B4-BE49-F238E27FC236}">
              <a16:creationId xmlns:a16="http://schemas.microsoft.com/office/drawing/2014/main" id="{00000000-0008-0000-0100-0000A4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29" name="AutoShape 249">
          <a:extLst>
            <a:ext uri="{FF2B5EF4-FFF2-40B4-BE49-F238E27FC236}">
              <a16:creationId xmlns:a16="http://schemas.microsoft.com/office/drawing/2014/main" id="{00000000-0008-0000-0100-0000A5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30" name="AutoShape 184">
          <a:extLst>
            <a:ext uri="{FF2B5EF4-FFF2-40B4-BE49-F238E27FC236}">
              <a16:creationId xmlns:a16="http://schemas.microsoft.com/office/drawing/2014/main" id="{00000000-0008-0000-0100-0000A6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31" name="AutoShape 185">
          <a:extLst>
            <a:ext uri="{FF2B5EF4-FFF2-40B4-BE49-F238E27FC236}">
              <a16:creationId xmlns:a16="http://schemas.microsoft.com/office/drawing/2014/main" id="{00000000-0008-0000-0100-0000A7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32" name="AutoShape 186">
          <a:extLst>
            <a:ext uri="{FF2B5EF4-FFF2-40B4-BE49-F238E27FC236}">
              <a16:creationId xmlns:a16="http://schemas.microsoft.com/office/drawing/2014/main" id="{00000000-0008-0000-0100-0000A813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033" name="AutoShape 187">
          <a:extLst>
            <a:ext uri="{FF2B5EF4-FFF2-40B4-BE49-F238E27FC236}">
              <a16:creationId xmlns:a16="http://schemas.microsoft.com/office/drawing/2014/main" id="{00000000-0008-0000-0100-0000A913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34" name="AutoShape 80">
          <a:extLst>
            <a:ext uri="{FF2B5EF4-FFF2-40B4-BE49-F238E27FC236}">
              <a16:creationId xmlns:a16="http://schemas.microsoft.com/office/drawing/2014/main" id="{00000000-0008-0000-0100-0000AA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35" name="AutoShape 84">
          <a:extLst>
            <a:ext uri="{FF2B5EF4-FFF2-40B4-BE49-F238E27FC236}">
              <a16:creationId xmlns:a16="http://schemas.microsoft.com/office/drawing/2014/main" id="{00000000-0008-0000-0100-0000AB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36" name="AutoShape 157">
          <a:extLst>
            <a:ext uri="{FF2B5EF4-FFF2-40B4-BE49-F238E27FC236}">
              <a16:creationId xmlns:a16="http://schemas.microsoft.com/office/drawing/2014/main" id="{00000000-0008-0000-0100-0000AC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37" name="AutoShape 158">
          <a:extLst>
            <a:ext uri="{FF2B5EF4-FFF2-40B4-BE49-F238E27FC236}">
              <a16:creationId xmlns:a16="http://schemas.microsoft.com/office/drawing/2014/main" id="{00000000-0008-0000-0100-0000AD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38" name="AutoShape 124">
          <a:extLst>
            <a:ext uri="{FF2B5EF4-FFF2-40B4-BE49-F238E27FC236}">
              <a16:creationId xmlns:a16="http://schemas.microsoft.com/office/drawing/2014/main" id="{00000000-0008-0000-0100-0000AE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5039" name="AutoShape 80">
          <a:extLst>
            <a:ext uri="{FF2B5EF4-FFF2-40B4-BE49-F238E27FC236}">
              <a16:creationId xmlns:a16="http://schemas.microsoft.com/office/drawing/2014/main" id="{00000000-0008-0000-0100-0000AF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0" name="AutoShape 84">
          <a:extLst>
            <a:ext uri="{FF2B5EF4-FFF2-40B4-BE49-F238E27FC236}">
              <a16:creationId xmlns:a16="http://schemas.microsoft.com/office/drawing/2014/main" id="{00000000-0008-0000-0100-0000B0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1" name="AutoShape 157">
          <a:extLst>
            <a:ext uri="{FF2B5EF4-FFF2-40B4-BE49-F238E27FC236}">
              <a16:creationId xmlns:a16="http://schemas.microsoft.com/office/drawing/2014/main" id="{00000000-0008-0000-0100-0000B1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2" name="AutoShape 158">
          <a:extLst>
            <a:ext uri="{FF2B5EF4-FFF2-40B4-BE49-F238E27FC236}">
              <a16:creationId xmlns:a16="http://schemas.microsoft.com/office/drawing/2014/main" id="{00000000-0008-0000-0100-0000B2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3" name="AutoShape 249">
          <a:extLst>
            <a:ext uri="{FF2B5EF4-FFF2-40B4-BE49-F238E27FC236}">
              <a16:creationId xmlns:a16="http://schemas.microsoft.com/office/drawing/2014/main" id="{00000000-0008-0000-0100-0000B3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4" name="AutoShape 184">
          <a:extLst>
            <a:ext uri="{FF2B5EF4-FFF2-40B4-BE49-F238E27FC236}">
              <a16:creationId xmlns:a16="http://schemas.microsoft.com/office/drawing/2014/main" id="{00000000-0008-0000-0100-0000B4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5" name="AutoShape 185">
          <a:extLst>
            <a:ext uri="{FF2B5EF4-FFF2-40B4-BE49-F238E27FC236}">
              <a16:creationId xmlns:a16="http://schemas.microsoft.com/office/drawing/2014/main" id="{00000000-0008-0000-0100-0000B5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6" name="AutoShape 186">
          <a:extLst>
            <a:ext uri="{FF2B5EF4-FFF2-40B4-BE49-F238E27FC236}">
              <a16:creationId xmlns:a16="http://schemas.microsoft.com/office/drawing/2014/main" id="{00000000-0008-0000-0100-0000B6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7" name="AutoShape 187">
          <a:extLst>
            <a:ext uri="{FF2B5EF4-FFF2-40B4-BE49-F238E27FC236}">
              <a16:creationId xmlns:a16="http://schemas.microsoft.com/office/drawing/2014/main" id="{00000000-0008-0000-0100-0000B7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8" name="AutoShape 80">
          <a:extLst>
            <a:ext uri="{FF2B5EF4-FFF2-40B4-BE49-F238E27FC236}">
              <a16:creationId xmlns:a16="http://schemas.microsoft.com/office/drawing/2014/main" id="{00000000-0008-0000-0100-0000B8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49" name="AutoShape 84">
          <a:extLst>
            <a:ext uri="{FF2B5EF4-FFF2-40B4-BE49-F238E27FC236}">
              <a16:creationId xmlns:a16="http://schemas.microsoft.com/office/drawing/2014/main" id="{00000000-0008-0000-0100-0000B9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0" name="AutoShape 157">
          <a:extLst>
            <a:ext uri="{FF2B5EF4-FFF2-40B4-BE49-F238E27FC236}">
              <a16:creationId xmlns:a16="http://schemas.microsoft.com/office/drawing/2014/main" id="{00000000-0008-0000-0100-0000BA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1" name="AutoShape 158">
          <a:extLst>
            <a:ext uri="{FF2B5EF4-FFF2-40B4-BE49-F238E27FC236}">
              <a16:creationId xmlns:a16="http://schemas.microsoft.com/office/drawing/2014/main" id="{00000000-0008-0000-0100-0000BB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2" name="AutoShape 124">
          <a:extLst>
            <a:ext uri="{FF2B5EF4-FFF2-40B4-BE49-F238E27FC236}">
              <a16:creationId xmlns:a16="http://schemas.microsoft.com/office/drawing/2014/main" id="{00000000-0008-0000-0100-0000BC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5053" name="AutoShape 80">
          <a:extLst>
            <a:ext uri="{FF2B5EF4-FFF2-40B4-BE49-F238E27FC236}">
              <a16:creationId xmlns:a16="http://schemas.microsoft.com/office/drawing/2014/main" id="{00000000-0008-0000-0100-0000BD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4" name="AutoShape 84">
          <a:extLst>
            <a:ext uri="{FF2B5EF4-FFF2-40B4-BE49-F238E27FC236}">
              <a16:creationId xmlns:a16="http://schemas.microsoft.com/office/drawing/2014/main" id="{00000000-0008-0000-0100-0000BE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5" name="AutoShape 157">
          <a:extLst>
            <a:ext uri="{FF2B5EF4-FFF2-40B4-BE49-F238E27FC236}">
              <a16:creationId xmlns:a16="http://schemas.microsoft.com/office/drawing/2014/main" id="{00000000-0008-0000-0100-0000BF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6" name="AutoShape 158">
          <a:extLst>
            <a:ext uri="{FF2B5EF4-FFF2-40B4-BE49-F238E27FC236}">
              <a16:creationId xmlns:a16="http://schemas.microsoft.com/office/drawing/2014/main" id="{00000000-0008-0000-0100-0000C0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7" name="AutoShape 249">
          <a:extLst>
            <a:ext uri="{FF2B5EF4-FFF2-40B4-BE49-F238E27FC236}">
              <a16:creationId xmlns:a16="http://schemas.microsoft.com/office/drawing/2014/main" id="{00000000-0008-0000-0100-0000C1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8" name="AutoShape 184">
          <a:extLst>
            <a:ext uri="{FF2B5EF4-FFF2-40B4-BE49-F238E27FC236}">
              <a16:creationId xmlns:a16="http://schemas.microsoft.com/office/drawing/2014/main" id="{00000000-0008-0000-0100-0000C2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59" name="AutoShape 185">
          <a:extLst>
            <a:ext uri="{FF2B5EF4-FFF2-40B4-BE49-F238E27FC236}">
              <a16:creationId xmlns:a16="http://schemas.microsoft.com/office/drawing/2014/main" id="{00000000-0008-0000-0100-0000C3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0" name="AutoShape 186">
          <a:extLst>
            <a:ext uri="{FF2B5EF4-FFF2-40B4-BE49-F238E27FC236}">
              <a16:creationId xmlns:a16="http://schemas.microsoft.com/office/drawing/2014/main" id="{00000000-0008-0000-0100-0000C4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1" name="AutoShape 187">
          <a:extLst>
            <a:ext uri="{FF2B5EF4-FFF2-40B4-BE49-F238E27FC236}">
              <a16:creationId xmlns:a16="http://schemas.microsoft.com/office/drawing/2014/main" id="{00000000-0008-0000-0100-0000C5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2" name="AutoShape 80">
          <a:extLst>
            <a:ext uri="{FF2B5EF4-FFF2-40B4-BE49-F238E27FC236}">
              <a16:creationId xmlns:a16="http://schemas.microsoft.com/office/drawing/2014/main" id="{00000000-0008-0000-0100-0000C6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3" name="AutoShape 84">
          <a:extLst>
            <a:ext uri="{FF2B5EF4-FFF2-40B4-BE49-F238E27FC236}">
              <a16:creationId xmlns:a16="http://schemas.microsoft.com/office/drawing/2014/main" id="{00000000-0008-0000-0100-0000C7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4" name="AutoShape 157">
          <a:extLst>
            <a:ext uri="{FF2B5EF4-FFF2-40B4-BE49-F238E27FC236}">
              <a16:creationId xmlns:a16="http://schemas.microsoft.com/office/drawing/2014/main" id="{00000000-0008-0000-0100-0000C8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5" name="AutoShape 158">
          <a:extLst>
            <a:ext uri="{FF2B5EF4-FFF2-40B4-BE49-F238E27FC236}">
              <a16:creationId xmlns:a16="http://schemas.microsoft.com/office/drawing/2014/main" id="{00000000-0008-0000-0100-0000C9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6" name="AutoShape 124">
          <a:extLst>
            <a:ext uri="{FF2B5EF4-FFF2-40B4-BE49-F238E27FC236}">
              <a16:creationId xmlns:a16="http://schemas.microsoft.com/office/drawing/2014/main" id="{00000000-0008-0000-0100-0000CA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5067" name="AutoShape 80">
          <a:extLst>
            <a:ext uri="{FF2B5EF4-FFF2-40B4-BE49-F238E27FC236}">
              <a16:creationId xmlns:a16="http://schemas.microsoft.com/office/drawing/2014/main" id="{00000000-0008-0000-0100-0000CB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8" name="AutoShape 84">
          <a:extLst>
            <a:ext uri="{FF2B5EF4-FFF2-40B4-BE49-F238E27FC236}">
              <a16:creationId xmlns:a16="http://schemas.microsoft.com/office/drawing/2014/main" id="{00000000-0008-0000-0100-0000CC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69" name="AutoShape 157">
          <a:extLst>
            <a:ext uri="{FF2B5EF4-FFF2-40B4-BE49-F238E27FC236}">
              <a16:creationId xmlns:a16="http://schemas.microsoft.com/office/drawing/2014/main" id="{00000000-0008-0000-0100-0000CD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70" name="AutoShape 158">
          <a:extLst>
            <a:ext uri="{FF2B5EF4-FFF2-40B4-BE49-F238E27FC236}">
              <a16:creationId xmlns:a16="http://schemas.microsoft.com/office/drawing/2014/main" id="{00000000-0008-0000-0100-0000CE13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37</xdr:row>
      <xdr:rowOff>0</xdr:rowOff>
    </xdr:from>
    <xdr:to>
      <xdr:col>19</xdr:col>
      <xdr:colOff>495300</xdr:colOff>
      <xdr:row>37</xdr:row>
      <xdr:rowOff>0</xdr:rowOff>
    </xdr:to>
    <xdr:sp macro="" textlink="">
      <xdr:nvSpPr>
        <xdr:cNvPr id="5071" name="AutoShape 249">
          <a:extLst>
            <a:ext uri="{FF2B5EF4-FFF2-40B4-BE49-F238E27FC236}">
              <a16:creationId xmlns:a16="http://schemas.microsoft.com/office/drawing/2014/main" id="{00000000-0008-0000-0100-0000CF13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76" name="AutoShape 80">
          <a:extLst>
            <a:ext uri="{FF2B5EF4-FFF2-40B4-BE49-F238E27FC236}">
              <a16:creationId xmlns:a16="http://schemas.microsoft.com/office/drawing/2014/main" id="{00000000-0008-0000-0100-0000D4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77" name="AutoShape 84">
          <a:extLst>
            <a:ext uri="{FF2B5EF4-FFF2-40B4-BE49-F238E27FC236}">
              <a16:creationId xmlns:a16="http://schemas.microsoft.com/office/drawing/2014/main" id="{00000000-0008-0000-0100-0000D5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78" name="AutoShape 157">
          <a:extLst>
            <a:ext uri="{FF2B5EF4-FFF2-40B4-BE49-F238E27FC236}">
              <a16:creationId xmlns:a16="http://schemas.microsoft.com/office/drawing/2014/main" id="{00000000-0008-0000-0100-0000D6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79" name="AutoShape 158">
          <a:extLst>
            <a:ext uri="{FF2B5EF4-FFF2-40B4-BE49-F238E27FC236}">
              <a16:creationId xmlns:a16="http://schemas.microsoft.com/office/drawing/2014/main" id="{00000000-0008-0000-0100-0000D7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0" name="AutoShape 124">
          <a:extLst>
            <a:ext uri="{FF2B5EF4-FFF2-40B4-BE49-F238E27FC236}">
              <a16:creationId xmlns:a16="http://schemas.microsoft.com/office/drawing/2014/main" id="{00000000-0008-0000-0100-0000D8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5081" name="AutoShape 80">
          <a:extLst>
            <a:ext uri="{FF2B5EF4-FFF2-40B4-BE49-F238E27FC236}">
              <a16:creationId xmlns:a16="http://schemas.microsoft.com/office/drawing/2014/main" id="{00000000-0008-0000-0100-0000D9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2" name="AutoShape 84">
          <a:extLst>
            <a:ext uri="{FF2B5EF4-FFF2-40B4-BE49-F238E27FC236}">
              <a16:creationId xmlns:a16="http://schemas.microsoft.com/office/drawing/2014/main" id="{00000000-0008-0000-0100-0000DA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3" name="AutoShape 157">
          <a:extLst>
            <a:ext uri="{FF2B5EF4-FFF2-40B4-BE49-F238E27FC236}">
              <a16:creationId xmlns:a16="http://schemas.microsoft.com/office/drawing/2014/main" id="{00000000-0008-0000-0100-0000DB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4" name="AutoShape 158">
          <a:extLst>
            <a:ext uri="{FF2B5EF4-FFF2-40B4-BE49-F238E27FC236}">
              <a16:creationId xmlns:a16="http://schemas.microsoft.com/office/drawing/2014/main" id="{00000000-0008-0000-0100-0000DC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5" name="AutoShape 249">
          <a:extLst>
            <a:ext uri="{FF2B5EF4-FFF2-40B4-BE49-F238E27FC236}">
              <a16:creationId xmlns:a16="http://schemas.microsoft.com/office/drawing/2014/main" id="{00000000-0008-0000-0100-0000DD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6" name="AutoShape 184">
          <a:extLst>
            <a:ext uri="{FF2B5EF4-FFF2-40B4-BE49-F238E27FC236}">
              <a16:creationId xmlns:a16="http://schemas.microsoft.com/office/drawing/2014/main" id="{00000000-0008-0000-0100-0000DE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7" name="AutoShape 185">
          <a:extLst>
            <a:ext uri="{FF2B5EF4-FFF2-40B4-BE49-F238E27FC236}">
              <a16:creationId xmlns:a16="http://schemas.microsoft.com/office/drawing/2014/main" id="{00000000-0008-0000-0100-0000DF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8" name="AutoShape 186">
          <a:extLst>
            <a:ext uri="{FF2B5EF4-FFF2-40B4-BE49-F238E27FC236}">
              <a16:creationId xmlns:a16="http://schemas.microsoft.com/office/drawing/2014/main" id="{00000000-0008-0000-0100-0000E0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89" name="AutoShape 187">
          <a:extLst>
            <a:ext uri="{FF2B5EF4-FFF2-40B4-BE49-F238E27FC236}">
              <a16:creationId xmlns:a16="http://schemas.microsoft.com/office/drawing/2014/main" id="{00000000-0008-0000-0100-0000E1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0" name="AutoShape 80">
          <a:extLst>
            <a:ext uri="{FF2B5EF4-FFF2-40B4-BE49-F238E27FC236}">
              <a16:creationId xmlns:a16="http://schemas.microsoft.com/office/drawing/2014/main" id="{00000000-0008-0000-0100-0000E2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1" name="AutoShape 84">
          <a:extLst>
            <a:ext uri="{FF2B5EF4-FFF2-40B4-BE49-F238E27FC236}">
              <a16:creationId xmlns:a16="http://schemas.microsoft.com/office/drawing/2014/main" id="{00000000-0008-0000-0100-0000E3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2" name="AutoShape 157">
          <a:extLst>
            <a:ext uri="{FF2B5EF4-FFF2-40B4-BE49-F238E27FC236}">
              <a16:creationId xmlns:a16="http://schemas.microsoft.com/office/drawing/2014/main" id="{00000000-0008-0000-0100-0000E4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3" name="AutoShape 158">
          <a:extLst>
            <a:ext uri="{FF2B5EF4-FFF2-40B4-BE49-F238E27FC236}">
              <a16:creationId xmlns:a16="http://schemas.microsoft.com/office/drawing/2014/main" id="{00000000-0008-0000-0100-0000E5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4" name="AutoShape 124">
          <a:extLst>
            <a:ext uri="{FF2B5EF4-FFF2-40B4-BE49-F238E27FC236}">
              <a16:creationId xmlns:a16="http://schemas.microsoft.com/office/drawing/2014/main" id="{00000000-0008-0000-0100-0000E6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5095" name="AutoShape 80">
          <a:extLst>
            <a:ext uri="{FF2B5EF4-FFF2-40B4-BE49-F238E27FC236}">
              <a16:creationId xmlns:a16="http://schemas.microsoft.com/office/drawing/2014/main" id="{00000000-0008-0000-0100-0000E7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6" name="AutoShape 84">
          <a:extLst>
            <a:ext uri="{FF2B5EF4-FFF2-40B4-BE49-F238E27FC236}">
              <a16:creationId xmlns:a16="http://schemas.microsoft.com/office/drawing/2014/main" id="{00000000-0008-0000-0100-0000E8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7" name="AutoShape 157">
          <a:extLst>
            <a:ext uri="{FF2B5EF4-FFF2-40B4-BE49-F238E27FC236}">
              <a16:creationId xmlns:a16="http://schemas.microsoft.com/office/drawing/2014/main" id="{00000000-0008-0000-0100-0000E9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8" name="AutoShape 158">
          <a:extLst>
            <a:ext uri="{FF2B5EF4-FFF2-40B4-BE49-F238E27FC236}">
              <a16:creationId xmlns:a16="http://schemas.microsoft.com/office/drawing/2014/main" id="{00000000-0008-0000-0100-0000EA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099" name="AutoShape 249">
          <a:extLst>
            <a:ext uri="{FF2B5EF4-FFF2-40B4-BE49-F238E27FC236}">
              <a16:creationId xmlns:a16="http://schemas.microsoft.com/office/drawing/2014/main" id="{00000000-0008-0000-0100-0000EB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0" name="AutoShape 184">
          <a:extLst>
            <a:ext uri="{FF2B5EF4-FFF2-40B4-BE49-F238E27FC236}">
              <a16:creationId xmlns:a16="http://schemas.microsoft.com/office/drawing/2014/main" id="{00000000-0008-0000-0100-0000EC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1" name="AutoShape 185">
          <a:extLst>
            <a:ext uri="{FF2B5EF4-FFF2-40B4-BE49-F238E27FC236}">
              <a16:creationId xmlns:a16="http://schemas.microsoft.com/office/drawing/2014/main" id="{00000000-0008-0000-0100-0000ED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2" name="AutoShape 186">
          <a:extLst>
            <a:ext uri="{FF2B5EF4-FFF2-40B4-BE49-F238E27FC236}">
              <a16:creationId xmlns:a16="http://schemas.microsoft.com/office/drawing/2014/main" id="{00000000-0008-0000-0100-0000EE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3" name="AutoShape 187">
          <a:extLst>
            <a:ext uri="{FF2B5EF4-FFF2-40B4-BE49-F238E27FC236}">
              <a16:creationId xmlns:a16="http://schemas.microsoft.com/office/drawing/2014/main" id="{00000000-0008-0000-0100-0000EF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4" name="AutoShape 80">
          <a:extLst>
            <a:ext uri="{FF2B5EF4-FFF2-40B4-BE49-F238E27FC236}">
              <a16:creationId xmlns:a16="http://schemas.microsoft.com/office/drawing/2014/main" id="{00000000-0008-0000-0100-0000F0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5" name="AutoShape 84">
          <a:extLst>
            <a:ext uri="{FF2B5EF4-FFF2-40B4-BE49-F238E27FC236}">
              <a16:creationId xmlns:a16="http://schemas.microsoft.com/office/drawing/2014/main" id="{00000000-0008-0000-0100-0000F1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6" name="AutoShape 157">
          <a:extLst>
            <a:ext uri="{FF2B5EF4-FFF2-40B4-BE49-F238E27FC236}">
              <a16:creationId xmlns:a16="http://schemas.microsoft.com/office/drawing/2014/main" id="{00000000-0008-0000-0100-0000F2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7" name="AutoShape 158">
          <a:extLst>
            <a:ext uri="{FF2B5EF4-FFF2-40B4-BE49-F238E27FC236}">
              <a16:creationId xmlns:a16="http://schemas.microsoft.com/office/drawing/2014/main" id="{00000000-0008-0000-0100-0000F3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08" name="AutoShape 124">
          <a:extLst>
            <a:ext uri="{FF2B5EF4-FFF2-40B4-BE49-F238E27FC236}">
              <a16:creationId xmlns:a16="http://schemas.microsoft.com/office/drawing/2014/main" id="{00000000-0008-0000-0100-0000F4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20</xdr:col>
      <xdr:colOff>0</xdr:colOff>
      <xdr:row>45</xdr:row>
      <xdr:rowOff>0</xdr:rowOff>
    </xdr:to>
    <xdr:sp macro="" textlink="">
      <xdr:nvSpPr>
        <xdr:cNvPr id="5109" name="AutoShape 80">
          <a:extLst>
            <a:ext uri="{FF2B5EF4-FFF2-40B4-BE49-F238E27FC236}">
              <a16:creationId xmlns:a16="http://schemas.microsoft.com/office/drawing/2014/main" id="{00000000-0008-0000-0100-0000F5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0" name="AutoShape 84">
          <a:extLst>
            <a:ext uri="{FF2B5EF4-FFF2-40B4-BE49-F238E27FC236}">
              <a16:creationId xmlns:a16="http://schemas.microsoft.com/office/drawing/2014/main" id="{00000000-0008-0000-0100-0000F6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1" name="AutoShape 157">
          <a:extLst>
            <a:ext uri="{FF2B5EF4-FFF2-40B4-BE49-F238E27FC236}">
              <a16:creationId xmlns:a16="http://schemas.microsoft.com/office/drawing/2014/main" id="{00000000-0008-0000-0100-0000F7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2" name="AutoShape 158">
          <a:extLst>
            <a:ext uri="{FF2B5EF4-FFF2-40B4-BE49-F238E27FC236}">
              <a16:creationId xmlns:a16="http://schemas.microsoft.com/office/drawing/2014/main" id="{00000000-0008-0000-0100-0000F8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3" name="AutoShape 249">
          <a:extLst>
            <a:ext uri="{FF2B5EF4-FFF2-40B4-BE49-F238E27FC236}">
              <a16:creationId xmlns:a16="http://schemas.microsoft.com/office/drawing/2014/main" id="{00000000-0008-0000-0100-0000F9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4" name="AutoShape 184">
          <a:extLst>
            <a:ext uri="{FF2B5EF4-FFF2-40B4-BE49-F238E27FC236}">
              <a16:creationId xmlns:a16="http://schemas.microsoft.com/office/drawing/2014/main" id="{00000000-0008-0000-0100-0000FA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5" name="AutoShape 185">
          <a:extLst>
            <a:ext uri="{FF2B5EF4-FFF2-40B4-BE49-F238E27FC236}">
              <a16:creationId xmlns:a16="http://schemas.microsoft.com/office/drawing/2014/main" id="{00000000-0008-0000-0100-0000FB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6" name="AutoShape 186">
          <a:extLst>
            <a:ext uri="{FF2B5EF4-FFF2-40B4-BE49-F238E27FC236}">
              <a16:creationId xmlns:a16="http://schemas.microsoft.com/office/drawing/2014/main" id="{00000000-0008-0000-0100-0000FC13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45</xdr:row>
      <xdr:rowOff>0</xdr:rowOff>
    </xdr:from>
    <xdr:to>
      <xdr:col>19</xdr:col>
      <xdr:colOff>495300</xdr:colOff>
      <xdr:row>45</xdr:row>
      <xdr:rowOff>0</xdr:rowOff>
    </xdr:to>
    <xdr:sp macro="" textlink="">
      <xdr:nvSpPr>
        <xdr:cNvPr id="5117" name="AutoShape 187">
          <a:extLst>
            <a:ext uri="{FF2B5EF4-FFF2-40B4-BE49-F238E27FC236}">
              <a16:creationId xmlns:a16="http://schemas.microsoft.com/office/drawing/2014/main" id="{00000000-0008-0000-0100-0000FD13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18" name="AutoShape 80">
          <a:extLst>
            <a:ext uri="{FF2B5EF4-FFF2-40B4-BE49-F238E27FC236}">
              <a16:creationId xmlns:a16="http://schemas.microsoft.com/office/drawing/2014/main" id="{00000000-0008-0000-0100-0000FE13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19" name="AutoShape 84">
          <a:extLst>
            <a:ext uri="{FF2B5EF4-FFF2-40B4-BE49-F238E27FC236}">
              <a16:creationId xmlns:a16="http://schemas.microsoft.com/office/drawing/2014/main" id="{00000000-0008-0000-0100-0000FF13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0" name="AutoShape 157">
          <a:extLst>
            <a:ext uri="{FF2B5EF4-FFF2-40B4-BE49-F238E27FC236}">
              <a16:creationId xmlns:a16="http://schemas.microsoft.com/office/drawing/2014/main" id="{00000000-0008-0000-0100-000000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1" name="AutoShape 158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2" name="AutoShape 124"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5123" name="AutoShape 80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4" name="AutoShape 84">
          <a:extLst>
            <a:ext uri="{FF2B5EF4-FFF2-40B4-BE49-F238E27FC236}">
              <a16:creationId xmlns:a16="http://schemas.microsoft.com/office/drawing/2014/main" id="{00000000-0008-0000-0100-000004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5" name="AutoShape 157">
          <a:extLst>
            <a:ext uri="{FF2B5EF4-FFF2-40B4-BE49-F238E27FC236}">
              <a16:creationId xmlns:a16="http://schemas.microsoft.com/office/drawing/2014/main" id="{00000000-0008-0000-0100-000005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6" name="AutoShape 158"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7" name="AutoShape 249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8" name="AutoShape 184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29" name="AutoShape 185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0" name="AutoShape 186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1" name="AutoShape 187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2" name="AutoShape 80">
          <a:extLst>
            <a:ext uri="{FF2B5EF4-FFF2-40B4-BE49-F238E27FC236}">
              <a16:creationId xmlns:a16="http://schemas.microsoft.com/office/drawing/2014/main" id="{00000000-0008-0000-0100-00000C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3" name="AutoShape 84">
          <a:extLst>
            <a:ext uri="{FF2B5EF4-FFF2-40B4-BE49-F238E27FC236}">
              <a16:creationId xmlns:a16="http://schemas.microsoft.com/office/drawing/2014/main" id="{00000000-0008-0000-0100-00000D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4" name="AutoShape 157">
          <a:extLst>
            <a:ext uri="{FF2B5EF4-FFF2-40B4-BE49-F238E27FC236}">
              <a16:creationId xmlns:a16="http://schemas.microsoft.com/office/drawing/2014/main" id="{00000000-0008-0000-0100-00000E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5" name="AutoShape 158">
          <a:extLst>
            <a:ext uri="{FF2B5EF4-FFF2-40B4-BE49-F238E27FC236}">
              <a16:creationId xmlns:a16="http://schemas.microsoft.com/office/drawing/2014/main" id="{00000000-0008-0000-0100-00000F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6" name="AutoShape 124">
          <a:extLst>
            <a:ext uri="{FF2B5EF4-FFF2-40B4-BE49-F238E27FC236}">
              <a16:creationId xmlns:a16="http://schemas.microsoft.com/office/drawing/2014/main" id="{00000000-0008-0000-0100-000010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5137" name="AutoShape 80">
          <a:extLst>
            <a:ext uri="{FF2B5EF4-FFF2-40B4-BE49-F238E27FC236}">
              <a16:creationId xmlns:a16="http://schemas.microsoft.com/office/drawing/2014/main" id="{00000000-0008-0000-0100-000011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8" name="AutoShape 84">
          <a:extLst>
            <a:ext uri="{FF2B5EF4-FFF2-40B4-BE49-F238E27FC236}">
              <a16:creationId xmlns:a16="http://schemas.microsoft.com/office/drawing/2014/main" id="{00000000-0008-0000-0100-000012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39" name="AutoShape 157">
          <a:extLst>
            <a:ext uri="{FF2B5EF4-FFF2-40B4-BE49-F238E27FC236}">
              <a16:creationId xmlns:a16="http://schemas.microsoft.com/office/drawing/2014/main" id="{00000000-0008-0000-0100-000013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0" name="AutoShape 158">
          <a:extLst>
            <a:ext uri="{FF2B5EF4-FFF2-40B4-BE49-F238E27FC236}">
              <a16:creationId xmlns:a16="http://schemas.microsoft.com/office/drawing/2014/main" id="{00000000-0008-0000-0100-000014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1" name="AutoShape 249">
          <a:extLst>
            <a:ext uri="{FF2B5EF4-FFF2-40B4-BE49-F238E27FC236}">
              <a16:creationId xmlns:a16="http://schemas.microsoft.com/office/drawing/2014/main" id="{00000000-0008-0000-0100-000015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2" name="AutoShape 184">
          <a:extLst>
            <a:ext uri="{FF2B5EF4-FFF2-40B4-BE49-F238E27FC236}">
              <a16:creationId xmlns:a16="http://schemas.microsoft.com/office/drawing/2014/main" id="{00000000-0008-0000-0100-000016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3" name="AutoShape 185">
          <a:extLst>
            <a:ext uri="{FF2B5EF4-FFF2-40B4-BE49-F238E27FC236}">
              <a16:creationId xmlns:a16="http://schemas.microsoft.com/office/drawing/2014/main" id="{00000000-0008-0000-0100-000017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4" name="AutoShape 186">
          <a:extLst>
            <a:ext uri="{FF2B5EF4-FFF2-40B4-BE49-F238E27FC236}">
              <a16:creationId xmlns:a16="http://schemas.microsoft.com/office/drawing/2014/main" id="{00000000-0008-0000-0100-000018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5" name="AutoShape 187">
          <a:extLst>
            <a:ext uri="{FF2B5EF4-FFF2-40B4-BE49-F238E27FC236}">
              <a16:creationId xmlns:a16="http://schemas.microsoft.com/office/drawing/2014/main" id="{00000000-0008-0000-0100-000019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6" name="AutoShape 80">
          <a:extLst>
            <a:ext uri="{FF2B5EF4-FFF2-40B4-BE49-F238E27FC236}">
              <a16:creationId xmlns:a16="http://schemas.microsoft.com/office/drawing/2014/main" id="{00000000-0008-0000-0100-00001A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7" name="AutoShape 84">
          <a:extLst>
            <a:ext uri="{FF2B5EF4-FFF2-40B4-BE49-F238E27FC236}">
              <a16:creationId xmlns:a16="http://schemas.microsoft.com/office/drawing/2014/main" id="{00000000-0008-0000-0100-00001B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8" name="AutoShape 157">
          <a:extLst>
            <a:ext uri="{FF2B5EF4-FFF2-40B4-BE49-F238E27FC236}">
              <a16:creationId xmlns:a16="http://schemas.microsoft.com/office/drawing/2014/main" id="{00000000-0008-0000-0100-00001C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49" name="AutoShape 158">
          <a:extLst>
            <a:ext uri="{FF2B5EF4-FFF2-40B4-BE49-F238E27FC236}">
              <a16:creationId xmlns:a16="http://schemas.microsoft.com/office/drawing/2014/main" id="{00000000-0008-0000-0100-00001D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0" name="AutoShape 124">
          <a:extLst>
            <a:ext uri="{FF2B5EF4-FFF2-40B4-BE49-F238E27FC236}">
              <a16:creationId xmlns:a16="http://schemas.microsoft.com/office/drawing/2014/main" id="{00000000-0008-0000-0100-00001E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20</xdr:col>
      <xdr:colOff>0</xdr:colOff>
      <xdr:row>52</xdr:row>
      <xdr:rowOff>0</xdr:rowOff>
    </xdr:to>
    <xdr:sp macro="" textlink="">
      <xdr:nvSpPr>
        <xdr:cNvPr id="5151" name="AutoShape 80">
          <a:extLst>
            <a:ext uri="{FF2B5EF4-FFF2-40B4-BE49-F238E27FC236}">
              <a16:creationId xmlns:a16="http://schemas.microsoft.com/office/drawing/2014/main" id="{00000000-0008-0000-0100-00001F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2" name="AutoShape 84">
          <a:extLst>
            <a:ext uri="{FF2B5EF4-FFF2-40B4-BE49-F238E27FC236}">
              <a16:creationId xmlns:a16="http://schemas.microsoft.com/office/drawing/2014/main" id="{00000000-0008-0000-0100-000020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3" name="AutoShape 157">
          <a:extLst>
            <a:ext uri="{FF2B5EF4-FFF2-40B4-BE49-F238E27FC236}">
              <a16:creationId xmlns:a16="http://schemas.microsoft.com/office/drawing/2014/main" id="{00000000-0008-0000-0100-000021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4" name="AutoShape 158">
          <a:extLst>
            <a:ext uri="{FF2B5EF4-FFF2-40B4-BE49-F238E27FC236}">
              <a16:creationId xmlns:a16="http://schemas.microsoft.com/office/drawing/2014/main" id="{00000000-0008-0000-0100-000022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5" name="AutoShape 249">
          <a:extLst>
            <a:ext uri="{FF2B5EF4-FFF2-40B4-BE49-F238E27FC236}">
              <a16:creationId xmlns:a16="http://schemas.microsoft.com/office/drawing/2014/main" id="{00000000-0008-0000-0100-000023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6" name="AutoShape 184">
          <a:extLst>
            <a:ext uri="{FF2B5EF4-FFF2-40B4-BE49-F238E27FC236}">
              <a16:creationId xmlns:a16="http://schemas.microsoft.com/office/drawing/2014/main" id="{00000000-0008-0000-0100-000024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7" name="AutoShape 185">
          <a:extLst>
            <a:ext uri="{FF2B5EF4-FFF2-40B4-BE49-F238E27FC236}">
              <a16:creationId xmlns:a16="http://schemas.microsoft.com/office/drawing/2014/main" id="{00000000-0008-0000-0100-000025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8" name="AutoShape 186">
          <a:extLst>
            <a:ext uri="{FF2B5EF4-FFF2-40B4-BE49-F238E27FC236}">
              <a16:creationId xmlns:a16="http://schemas.microsoft.com/office/drawing/2014/main" id="{00000000-0008-0000-0100-000026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52</xdr:row>
      <xdr:rowOff>0</xdr:rowOff>
    </xdr:from>
    <xdr:to>
      <xdr:col>19</xdr:col>
      <xdr:colOff>495300</xdr:colOff>
      <xdr:row>52</xdr:row>
      <xdr:rowOff>0</xdr:rowOff>
    </xdr:to>
    <xdr:sp macro="" textlink="">
      <xdr:nvSpPr>
        <xdr:cNvPr id="5159" name="AutoShape 187">
          <a:extLst>
            <a:ext uri="{FF2B5EF4-FFF2-40B4-BE49-F238E27FC236}">
              <a16:creationId xmlns:a16="http://schemas.microsoft.com/office/drawing/2014/main" id="{00000000-0008-0000-0100-000027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0" name="AutoShape 80">
          <a:extLst>
            <a:ext uri="{FF2B5EF4-FFF2-40B4-BE49-F238E27FC236}">
              <a16:creationId xmlns:a16="http://schemas.microsoft.com/office/drawing/2014/main" id="{00000000-0008-0000-0100-000028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1" name="AutoShape 84">
          <a:extLst>
            <a:ext uri="{FF2B5EF4-FFF2-40B4-BE49-F238E27FC236}">
              <a16:creationId xmlns:a16="http://schemas.microsoft.com/office/drawing/2014/main" id="{00000000-0008-0000-0100-000029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2" name="AutoShape 157">
          <a:extLst>
            <a:ext uri="{FF2B5EF4-FFF2-40B4-BE49-F238E27FC236}">
              <a16:creationId xmlns:a16="http://schemas.microsoft.com/office/drawing/2014/main" id="{00000000-0008-0000-0100-00002A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3" name="AutoShape 158">
          <a:extLst>
            <a:ext uri="{FF2B5EF4-FFF2-40B4-BE49-F238E27FC236}">
              <a16:creationId xmlns:a16="http://schemas.microsoft.com/office/drawing/2014/main" id="{00000000-0008-0000-0100-00002B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4" name="AutoShape 124">
          <a:extLst>
            <a:ext uri="{FF2B5EF4-FFF2-40B4-BE49-F238E27FC236}">
              <a16:creationId xmlns:a16="http://schemas.microsoft.com/office/drawing/2014/main" id="{00000000-0008-0000-0100-00002C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5165" name="AutoShape 80">
          <a:extLst>
            <a:ext uri="{FF2B5EF4-FFF2-40B4-BE49-F238E27FC236}">
              <a16:creationId xmlns:a16="http://schemas.microsoft.com/office/drawing/2014/main" id="{00000000-0008-0000-0100-00002D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6" name="AutoShape 84">
          <a:extLst>
            <a:ext uri="{FF2B5EF4-FFF2-40B4-BE49-F238E27FC236}">
              <a16:creationId xmlns:a16="http://schemas.microsoft.com/office/drawing/2014/main" id="{00000000-0008-0000-0100-00002E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7" name="AutoShape 157">
          <a:extLst>
            <a:ext uri="{FF2B5EF4-FFF2-40B4-BE49-F238E27FC236}">
              <a16:creationId xmlns:a16="http://schemas.microsoft.com/office/drawing/2014/main" id="{00000000-0008-0000-0100-00002F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8" name="AutoShape 158">
          <a:extLst>
            <a:ext uri="{FF2B5EF4-FFF2-40B4-BE49-F238E27FC236}">
              <a16:creationId xmlns:a16="http://schemas.microsoft.com/office/drawing/2014/main" id="{00000000-0008-0000-0100-000030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69" name="AutoShape 249">
          <a:extLst>
            <a:ext uri="{FF2B5EF4-FFF2-40B4-BE49-F238E27FC236}">
              <a16:creationId xmlns:a16="http://schemas.microsoft.com/office/drawing/2014/main" id="{00000000-0008-0000-0100-000031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0" name="AutoShape 184">
          <a:extLst>
            <a:ext uri="{FF2B5EF4-FFF2-40B4-BE49-F238E27FC236}">
              <a16:creationId xmlns:a16="http://schemas.microsoft.com/office/drawing/2014/main" id="{00000000-0008-0000-0100-000032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1" name="AutoShape 185">
          <a:extLst>
            <a:ext uri="{FF2B5EF4-FFF2-40B4-BE49-F238E27FC236}">
              <a16:creationId xmlns:a16="http://schemas.microsoft.com/office/drawing/2014/main" id="{00000000-0008-0000-0100-000033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2" name="AutoShape 186">
          <a:extLst>
            <a:ext uri="{FF2B5EF4-FFF2-40B4-BE49-F238E27FC236}">
              <a16:creationId xmlns:a16="http://schemas.microsoft.com/office/drawing/2014/main" id="{00000000-0008-0000-0100-000034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3" name="AutoShape 187">
          <a:extLst>
            <a:ext uri="{FF2B5EF4-FFF2-40B4-BE49-F238E27FC236}">
              <a16:creationId xmlns:a16="http://schemas.microsoft.com/office/drawing/2014/main" id="{00000000-0008-0000-0100-000035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4" name="AutoShape 80">
          <a:extLst>
            <a:ext uri="{FF2B5EF4-FFF2-40B4-BE49-F238E27FC236}">
              <a16:creationId xmlns:a16="http://schemas.microsoft.com/office/drawing/2014/main" id="{00000000-0008-0000-0100-000036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5" name="AutoShape 84">
          <a:extLst>
            <a:ext uri="{FF2B5EF4-FFF2-40B4-BE49-F238E27FC236}">
              <a16:creationId xmlns:a16="http://schemas.microsoft.com/office/drawing/2014/main" id="{00000000-0008-0000-0100-000037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6" name="AutoShape 157">
          <a:extLst>
            <a:ext uri="{FF2B5EF4-FFF2-40B4-BE49-F238E27FC236}">
              <a16:creationId xmlns:a16="http://schemas.microsoft.com/office/drawing/2014/main" id="{00000000-0008-0000-0100-000038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7" name="AutoShape 158">
          <a:extLst>
            <a:ext uri="{FF2B5EF4-FFF2-40B4-BE49-F238E27FC236}">
              <a16:creationId xmlns:a16="http://schemas.microsoft.com/office/drawing/2014/main" id="{00000000-0008-0000-0100-000039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78" name="AutoShape 124">
          <a:extLst>
            <a:ext uri="{FF2B5EF4-FFF2-40B4-BE49-F238E27FC236}">
              <a16:creationId xmlns:a16="http://schemas.microsoft.com/office/drawing/2014/main" id="{00000000-0008-0000-0100-00003A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5179" name="AutoShape 80">
          <a:extLst>
            <a:ext uri="{FF2B5EF4-FFF2-40B4-BE49-F238E27FC236}">
              <a16:creationId xmlns:a16="http://schemas.microsoft.com/office/drawing/2014/main" id="{00000000-0008-0000-0100-00003B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0" name="AutoShape 84">
          <a:extLst>
            <a:ext uri="{FF2B5EF4-FFF2-40B4-BE49-F238E27FC236}">
              <a16:creationId xmlns:a16="http://schemas.microsoft.com/office/drawing/2014/main" id="{00000000-0008-0000-0100-00003C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1" name="AutoShape 157">
          <a:extLst>
            <a:ext uri="{FF2B5EF4-FFF2-40B4-BE49-F238E27FC236}">
              <a16:creationId xmlns:a16="http://schemas.microsoft.com/office/drawing/2014/main" id="{00000000-0008-0000-0100-00003D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2" name="AutoShape 158">
          <a:extLst>
            <a:ext uri="{FF2B5EF4-FFF2-40B4-BE49-F238E27FC236}">
              <a16:creationId xmlns:a16="http://schemas.microsoft.com/office/drawing/2014/main" id="{00000000-0008-0000-0100-00003E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3" name="AutoShape 249">
          <a:extLst>
            <a:ext uri="{FF2B5EF4-FFF2-40B4-BE49-F238E27FC236}">
              <a16:creationId xmlns:a16="http://schemas.microsoft.com/office/drawing/2014/main" id="{00000000-0008-0000-0100-00003F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4" name="AutoShape 184">
          <a:extLst>
            <a:ext uri="{FF2B5EF4-FFF2-40B4-BE49-F238E27FC236}">
              <a16:creationId xmlns:a16="http://schemas.microsoft.com/office/drawing/2014/main" id="{00000000-0008-0000-0100-000040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5" name="AutoShape 185">
          <a:extLst>
            <a:ext uri="{FF2B5EF4-FFF2-40B4-BE49-F238E27FC236}">
              <a16:creationId xmlns:a16="http://schemas.microsoft.com/office/drawing/2014/main" id="{00000000-0008-0000-0100-000041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6" name="AutoShape 186">
          <a:extLst>
            <a:ext uri="{FF2B5EF4-FFF2-40B4-BE49-F238E27FC236}">
              <a16:creationId xmlns:a16="http://schemas.microsoft.com/office/drawing/2014/main" id="{00000000-0008-0000-0100-000042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7" name="AutoShape 187">
          <a:extLst>
            <a:ext uri="{FF2B5EF4-FFF2-40B4-BE49-F238E27FC236}">
              <a16:creationId xmlns:a16="http://schemas.microsoft.com/office/drawing/2014/main" id="{00000000-0008-0000-0100-000043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8" name="AutoShape 80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89" name="AutoShape 84">
          <a:extLst>
            <a:ext uri="{FF2B5EF4-FFF2-40B4-BE49-F238E27FC236}">
              <a16:creationId xmlns:a16="http://schemas.microsoft.com/office/drawing/2014/main" id="{00000000-0008-0000-0100-000045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0" name="AutoShape 157">
          <a:extLst>
            <a:ext uri="{FF2B5EF4-FFF2-40B4-BE49-F238E27FC236}">
              <a16:creationId xmlns:a16="http://schemas.microsoft.com/office/drawing/2014/main" id="{00000000-0008-0000-0100-000046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1" name="AutoShape 158">
          <a:extLst>
            <a:ext uri="{FF2B5EF4-FFF2-40B4-BE49-F238E27FC236}">
              <a16:creationId xmlns:a16="http://schemas.microsoft.com/office/drawing/2014/main" id="{00000000-0008-0000-0100-000047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2" name="AutoShape 124">
          <a:extLst>
            <a:ext uri="{FF2B5EF4-FFF2-40B4-BE49-F238E27FC236}">
              <a16:creationId xmlns:a16="http://schemas.microsoft.com/office/drawing/2014/main" id="{00000000-0008-0000-0100-000048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20</xdr:col>
      <xdr:colOff>0</xdr:colOff>
      <xdr:row>59</xdr:row>
      <xdr:rowOff>0</xdr:rowOff>
    </xdr:to>
    <xdr:sp macro="" textlink="">
      <xdr:nvSpPr>
        <xdr:cNvPr id="5193" name="AutoShape 80">
          <a:extLst>
            <a:ext uri="{FF2B5EF4-FFF2-40B4-BE49-F238E27FC236}">
              <a16:creationId xmlns:a16="http://schemas.microsoft.com/office/drawing/2014/main" id="{00000000-0008-0000-0100-000049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4" name="AutoShape 84">
          <a:extLst>
            <a:ext uri="{FF2B5EF4-FFF2-40B4-BE49-F238E27FC236}">
              <a16:creationId xmlns:a16="http://schemas.microsoft.com/office/drawing/2014/main" id="{00000000-0008-0000-0100-00004A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5" name="AutoShape 157">
          <a:extLst>
            <a:ext uri="{FF2B5EF4-FFF2-40B4-BE49-F238E27FC236}">
              <a16:creationId xmlns:a16="http://schemas.microsoft.com/office/drawing/2014/main" id="{00000000-0008-0000-0100-00004B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6" name="AutoShape 158">
          <a:extLst>
            <a:ext uri="{FF2B5EF4-FFF2-40B4-BE49-F238E27FC236}">
              <a16:creationId xmlns:a16="http://schemas.microsoft.com/office/drawing/2014/main" id="{00000000-0008-0000-0100-00004C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7" name="AutoShape 249">
          <a:extLst>
            <a:ext uri="{FF2B5EF4-FFF2-40B4-BE49-F238E27FC236}">
              <a16:creationId xmlns:a16="http://schemas.microsoft.com/office/drawing/2014/main" id="{00000000-0008-0000-0100-00004D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8" name="AutoShape 184">
          <a:extLst>
            <a:ext uri="{FF2B5EF4-FFF2-40B4-BE49-F238E27FC236}">
              <a16:creationId xmlns:a16="http://schemas.microsoft.com/office/drawing/2014/main" id="{00000000-0008-0000-0100-00004E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199" name="AutoShape 185">
          <a:extLst>
            <a:ext uri="{FF2B5EF4-FFF2-40B4-BE49-F238E27FC236}">
              <a16:creationId xmlns:a16="http://schemas.microsoft.com/office/drawing/2014/main" id="{00000000-0008-0000-0100-00004F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200" name="AutoShape 186">
          <a:extLst>
            <a:ext uri="{FF2B5EF4-FFF2-40B4-BE49-F238E27FC236}">
              <a16:creationId xmlns:a16="http://schemas.microsoft.com/office/drawing/2014/main" id="{00000000-0008-0000-0100-000050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59</xdr:row>
      <xdr:rowOff>0</xdr:rowOff>
    </xdr:from>
    <xdr:to>
      <xdr:col>19</xdr:col>
      <xdr:colOff>495300</xdr:colOff>
      <xdr:row>59</xdr:row>
      <xdr:rowOff>0</xdr:rowOff>
    </xdr:to>
    <xdr:sp macro="" textlink="">
      <xdr:nvSpPr>
        <xdr:cNvPr id="5201" name="AutoShape 187">
          <a:extLst>
            <a:ext uri="{FF2B5EF4-FFF2-40B4-BE49-F238E27FC236}">
              <a16:creationId xmlns:a16="http://schemas.microsoft.com/office/drawing/2014/main" id="{00000000-0008-0000-0100-000051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2" name="AutoShape 80">
          <a:extLst>
            <a:ext uri="{FF2B5EF4-FFF2-40B4-BE49-F238E27FC236}">
              <a16:creationId xmlns:a16="http://schemas.microsoft.com/office/drawing/2014/main" id="{00000000-0008-0000-0100-000052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3" name="AutoShape 84">
          <a:extLst>
            <a:ext uri="{FF2B5EF4-FFF2-40B4-BE49-F238E27FC236}">
              <a16:creationId xmlns:a16="http://schemas.microsoft.com/office/drawing/2014/main" id="{00000000-0008-0000-0100-000053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4" name="AutoShape 157">
          <a:extLst>
            <a:ext uri="{FF2B5EF4-FFF2-40B4-BE49-F238E27FC236}">
              <a16:creationId xmlns:a16="http://schemas.microsoft.com/office/drawing/2014/main" id="{00000000-0008-0000-0100-000054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5" name="AutoShape 158">
          <a:extLst>
            <a:ext uri="{FF2B5EF4-FFF2-40B4-BE49-F238E27FC236}">
              <a16:creationId xmlns:a16="http://schemas.microsoft.com/office/drawing/2014/main" id="{00000000-0008-0000-0100-000055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6" name="AutoShape 124">
          <a:extLst>
            <a:ext uri="{FF2B5EF4-FFF2-40B4-BE49-F238E27FC236}">
              <a16:creationId xmlns:a16="http://schemas.microsoft.com/office/drawing/2014/main" id="{00000000-0008-0000-0100-000056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5207" name="AutoShape 80">
          <a:extLst>
            <a:ext uri="{FF2B5EF4-FFF2-40B4-BE49-F238E27FC236}">
              <a16:creationId xmlns:a16="http://schemas.microsoft.com/office/drawing/2014/main" id="{00000000-0008-0000-0100-000057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8" name="AutoShape 84">
          <a:extLst>
            <a:ext uri="{FF2B5EF4-FFF2-40B4-BE49-F238E27FC236}">
              <a16:creationId xmlns:a16="http://schemas.microsoft.com/office/drawing/2014/main" id="{00000000-0008-0000-0100-000058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09" name="AutoShape 157">
          <a:extLst>
            <a:ext uri="{FF2B5EF4-FFF2-40B4-BE49-F238E27FC236}">
              <a16:creationId xmlns:a16="http://schemas.microsoft.com/office/drawing/2014/main" id="{00000000-0008-0000-0100-000059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0" name="AutoShape 158">
          <a:extLst>
            <a:ext uri="{FF2B5EF4-FFF2-40B4-BE49-F238E27FC236}">
              <a16:creationId xmlns:a16="http://schemas.microsoft.com/office/drawing/2014/main" id="{00000000-0008-0000-0100-00005A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1" name="AutoShape 249">
          <a:extLst>
            <a:ext uri="{FF2B5EF4-FFF2-40B4-BE49-F238E27FC236}">
              <a16:creationId xmlns:a16="http://schemas.microsoft.com/office/drawing/2014/main" id="{00000000-0008-0000-0100-00005B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2" name="AutoShape 184">
          <a:extLst>
            <a:ext uri="{FF2B5EF4-FFF2-40B4-BE49-F238E27FC236}">
              <a16:creationId xmlns:a16="http://schemas.microsoft.com/office/drawing/2014/main" id="{00000000-0008-0000-0100-00005C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3" name="AutoShape 185">
          <a:extLst>
            <a:ext uri="{FF2B5EF4-FFF2-40B4-BE49-F238E27FC236}">
              <a16:creationId xmlns:a16="http://schemas.microsoft.com/office/drawing/2014/main" id="{00000000-0008-0000-0100-00005D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4" name="AutoShape 186">
          <a:extLst>
            <a:ext uri="{FF2B5EF4-FFF2-40B4-BE49-F238E27FC236}">
              <a16:creationId xmlns:a16="http://schemas.microsoft.com/office/drawing/2014/main" id="{00000000-0008-0000-0100-00005E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15" name="AutoShape 187">
          <a:extLst>
            <a:ext uri="{FF2B5EF4-FFF2-40B4-BE49-F238E27FC236}">
              <a16:creationId xmlns:a16="http://schemas.microsoft.com/office/drawing/2014/main" id="{00000000-0008-0000-0100-00005F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16" name="AutoShape 80">
          <a:extLst>
            <a:ext uri="{FF2B5EF4-FFF2-40B4-BE49-F238E27FC236}">
              <a16:creationId xmlns:a16="http://schemas.microsoft.com/office/drawing/2014/main" id="{00000000-0008-0000-0100-000060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17" name="AutoShape 84">
          <a:extLst>
            <a:ext uri="{FF2B5EF4-FFF2-40B4-BE49-F238E27FC236}">
              <a16:creationId xmlns:a16="http://schemas.microsoft.com/office/drawing/2014/main" id="{00000000-0008-0000-0100-000061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18" name="AutoShape 157">
          <a:extLst>
            <a:ext uri="{FF2B5EF4-FFF2-40B4-BE49-F238E27FC236}">
              <a16:creationId xmlns:a16="http://schemas.microsoft.com/office/drawing/2014/main" id="{00000000-0008-0000-0100-000062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19" name="AutoShape 158">
          <a:extLst>
            <a:ext uri="{FF2B5EF4-FFF2-40B4-BE49-F238E27FC236}">
              <a16:creationId xmlns:a16="http://schemas.microsoft.com/office/drawing/2014/main" id="{00000000-0008-0000-0100-000063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0" name="AutoShape 124">
          <a:extLst>
            <a:ext uri="{FF2B5EF4-FFF2-40B4-BE49-F238E27FC236}">
              <a16:creationId xmlns:a16="http://schemas.microsoft.com/office/drawing/2014/main" id="{00000000-0008-0000-0100-000064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221" name="AutoShape 80">
          <a:extLst>
            <a:ext uri="{FF2B5EF4-FFF2-40B4-BE49-F238E27FC236}">
              <a16:creationId xmlns:a16="http://schemas.microsoft.com/office/drawing/2014/main" id="{00000000-0008-0000-0100-000065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2" name="AutoShape 84">
          <a:extLst>
            <a:ext uri="{FF2B5EF4-FFF2-40B4-BE49-F238E27FC236}">
              <a16:creationId xmlns:a16="http://schemas.microsoft.com/office/drawing/2014/main" id="{00000000-0008-0000-0100-000066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3" name="AutoShape 157">
          <a:extLst>
            <a:ext uri="{FF2B5EF4-FFF2-40B4-BE49-F238E27FC236}">
              <a16:creationId xmlns:a16="http://schemas.microsoft.com/office/drawing/2014/main" id="{00000000-0008-0000-0100-000067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4" name="AutoShape 158">
          <a:extLst>
            <a:ext uri="{FF2B5EF4-FFF2-40B4-BE49-F238E27FC236}">
              <a16:creationId xmlns:a16="http://schemas.microsoft.com/office/drawing/2014/main" id="{00000000-0008-0000-0100-000068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5" name="AutoShape 249">
          <a:extLst>
            <a:ext uri="{FF2B5EF4-FFF2-40B4-BE49-F238E27FC236}">
              <a16:creationId xmlns:a16="http://schemas.microsoft.com/office/drawing/2014/main" id="{00000000-0008-0000-0100-000069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6" name="AutoShape 184">
          <a:extLst>
            <a:ext uri="{FF2B5EF4-FFF2-40B4-BE49-F238E27FC236}">
              <a16:creationId xmlns:a16="http://schemas.microsoft.com/office/drawing/2014/main" id="{00000000-0008-0000-0100-00006A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7" name="AutoShape 185">
          <a:extLst>
            <a:ext uri="{FF2B5EF4-FFF2-40B4-BE49-F238E27FC236}">
              <a16:creationId xmlns:a16="http://schemas.microsoft.com/office/drawing/2014/main" id="{00000000-0008-0000-0100-00006B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8" name="AutoShape 186">
          <a:extLst>
            <a:ext uri="{FF2B5EF4-FFF2-40B4-BE49-F238E27FC236}">
              <a16:creationId xmlns:a16="http://schemas.microsoft.com/office/drawing/2014/main" id="{00000000-0008-0000-0100-00006C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29" name="AutoShape 187">
          <a:extLst>
            <a:ext uri="{FF2B5EF4-FFF2-40B4-BE49-F238E27FC236}">
              <a16:creationId xmlns:a16="http://schemas.microsoft.com/office/drawing/2014/main" id="{00000000-0008-0000-0100-00006D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0" name="AutoShape 80">
          <a:extLst>
            <a:ext uri="{FF2B5EF4-FFF2-40B4-BE49-F238E27FC236}">
              <a16:creationId xmlns:a16="http://schemas.microsoft.com/office/drawing/2014/main" id="{00000000-0008-0000-0100-00006E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1" name="AutoShape 84">
          <a:extLst>
            <a:ext uri="{FF2B5EF4-FFF2-40B4-BE49-F238E27FC236}">
              <a16:creationId xmlns:a16="http://schemas.microsoft.com/office/drawing/2014/main" id="{00000000-0008-0000-0100-00006F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2" name="AutoShape 157">
          <a:extLst>
            <a:ext uri="{FF2B5EF4-FFF2-40B4-BE49-F238E27FC236}">
              <a16:creationId xmlns:a16="http://schemas.microsoft.com/office/drawing/2014/main" id="{00000000-0008-0000-0100-000070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3" name="AutoShape 158">
          <a:extLst>
            <a:ext uri="{FF2B5EF4-FFF2-40B4-BE49-F238E27FC236}">
              <a16:creationId xmlns:a16="http://schemas.microsoft.com/office/drawing/2014/main" id="{00000000-0008-0000-0100-000071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4" name="AutoShape 124">
          <a:extLst>
            <a:ext uri="{FF2B5EF4-FFF2-40B4-BE49-F238E27FC236}">
              <a16:creationId xmlns:a16="http://schemas.microsoft.com/office/drawing/2014/main" id="{00000000-0008-0000-0100-000072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235" name="AutoShape 80">
          <a:extLst>
            <a:ext uri="{FF2B5EF4-FFF2-40B4-BE49-F238E27FC236}">
              <a16:creationId xmlns:a16="http://schemas.microsoft.com/office/drawing/2014/main" id="{00000000-0008-0000-0100-000073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6" name="AutoShape 84">
          <a:extLst>
            <a:ext uri="{FF2B5EF4-FFF2-40B4-BE49-F238E27FC236}">
              <a16:creationId xmlns:a16="http://schemas.microsoft.com/office/drawing/2014/main" id="{00000000-0008-0000-0100-000074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7" name="AutoShape 157">
          <a:extLst>
            <a:ext uri="{FF2B5EF4-FFF2-40B4-BE49-F238E27FC236}">
              <a16:creationId xmlns:a16="http://schemas.microsoft.com/office/drawing/2014/main" id="{00000000-0008-0000-0100-000075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8" name="AutoShape 158">
          <a:extLst>
            <a:ext uri="{FF2B5EF4-FFF2-40B4-BE49-F238E27FC236}">
              <a16:creationId xmlns:a16="http://schemas.microsoft.com/office/drawing/2014/main" id="{00000000-0008-0000-0100-000076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39" name="AutoShape 249">
          <a:extLst>
            <a:ext uri="{FF2B5EF4-FFF2-40B4-BE49-F238E27FC236}">
              <a16:creationId xmlns:a16="http://schemas.microsoft.com/office/drawing/2014/main" id="{00000000-0008-0000-0100-000077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40" name="AutoShape 184">
          <a:extLst>
            <a:ext uri="{FF2B5EF4-FFF2-40B4-BE49-F238E27FC236}">
              <a16:creationId xmlns:a16="http://schemas.microsoft.com/office/drawing/2014/main" id="{00000000-0008-0000-0100-000078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41" name="AutoShape 185">
          <a:extLst>
            <a:ext uri="{FF2B5EF4-FFF2-40B4-BE49-F238E27FC236}">
              <a16:creationId xmlns:a16="http://schemas.microsoft.com/office/drawing/2014/main" id="{00000000-0008-0000-0100-000079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42" name="AutoShape 186">
          <a:extLst>
            <a:ext uri="{FF2B5EF4-FFF2-40B4-BE49-F238E27FC236}">
              <a16:creationId xmlns:a16="http://schemas.microsoft.com/office/drawing/2014/main" id="{00000000-0008-0000-0100-00007A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243" name="AutoShape 187">
          <a:extLst>
            <a:ext uri="{FF2B5EF4-FFF2-40B4-BE49-F238E27FC236}">
              <a16:creationId xmlns:a16="http://schemas.microsoft.com/office/drawing/2014/main" id="{00000000-0008-0000-0100-00007B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44" name="AutoShape 80">
          <a:extLst>
            <a:ext uri="{FF2B5EF4-FFF2-40B4-BE49-F238E27FC236}">
              <a16:creationId xmlns:a16="http://schemas.microsoft.com/office/drawing/2014/main" id="{00000000-0008-0000-0100-00007C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45" name="AutoShape 84">
          <a:extLst>
            <a:ext uri="{FF2B5EF4-FFF2-40B4-BE49-F238E27FC236}">
              <a16:creationId xmlns:a16="http://schemas.microsoft.com/office/drawing/2014/main" id="{00000000-0008-0000-0100-00007D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46" name="AutoShape 157">
          <a:extLst>
            <a:ext uri="{FF2B5EF4-FFF2-40B4-BE49-F238E27FC236}">
              <a16:creationId xmlns:a16="http://schemas.microsoft.com/office/drawing/2014/main" id="{00000000-0008-0000-0100-00007E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47" name="AutoShape 158">
          <a:extLst>
            <a:ext uri="{FF2B5EF4-FFF2-40B4-BE49-F238E27FC236}">
              <a16:creationId xmlns:a16="http://schemas.microsoft.com/office/drawing/2014/main" id="{00000000-0008-0000-0100-00007F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48" name="AutoShape 124">
          <a:extLst>
            <a:ext uri="{FF2B5EF4-FFF2-40B4-BE49-F238E27FC236}">
              <a16:creationId xmlns:a16="http://schemas.microsoft.com/office/drawing/2014/main" id="{00000000-0008-0000-0100-000080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249" name="AutoShape 80">
          <a:extLst>
            <a:ext uri="{FF2B5EF4-FFF2-40B4-BE49-F238E27FC236}">
              <a16:creationId xmlns:a16="http://schemas.microsoft.com/office/drawing/2014/main" id="{00000000-0008-0000-0100-000081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0" name="AutoShape 84">
          <a:extLst>
            <a:ext uri="{FF2B5EF4-FFF2-40B4-BE49-F238E27FC236}">
              <a16:creationId xmlns:a16="http://schemas.microsoft.com/office/drawing/2014/main" id="{00000000-0008-0000-0100-000082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1" name="AutoShape 157">
          <a:extLst>
            <a:ext uri="{FF2B5EF4-FFF2-40B4-BE49-F238E27FC236}">
              <a16:creationId xmlns:a16="http://schemas.microsoft.com/office/drawing/2014/main" id="{00000000-0008-0000-0100-000083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2" name="AutoShape 158">
          <a:extLst>
            <a:ext uri="{FF2B5EF4-FFF2-40B4-BE49-F238E27FC236}">
              <a16:creationId xmlns:a16="http://schemas.microsoft.com/office/drawing/2014/main" id="{00000000-0008-0000-0100-000084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3" name="AutoShape 249">
          <a:extLst>
            <a:ext uri="{FF2B5EF4-FFF2-40B4-BE49-F238E27FC236}">
              <a16:creationId xmlns:a16="http://schemas.microsoft.com/office/drawing/2014/main" id="{00000000-0008-0000-0100-000085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4" name="AutoShape 184">
          <a:extLst>
            <a:ext uri="{FF2B5EF4-FFF2-40B4-BE49-F238E27FC236}">
              <a16:creationId xmlns:a16="http://schemas.microsoft.com/office/drawing/2014/main" id="{00000000-0008-0000-0100-000086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5" name="AutoShape 185">
          <a:extLst>
            <a:ext uri="{FF2B5EF4-FFF2-40B4-BE49-F238E27FC236}">
              <a16:creationId xmlns:a16="http://schemas.microsoft.com/office/drawing/2014/main" id="{00000000-0008-0000-0100-000087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6" name="AutoShape 186">
          <a:extLst>
            <a:ext uri="{FF2B5EF4-FFF2-40B4-BE49-F238E27FC236}">
              <a16:creationId xmlns:a16="http://schemas.microsoft.com/office/drawing/2014/main" id="{00000000-0008-0000-0100-000088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257" name="AutoShape 187">
          <a:extLst>
            <a:ext uri="{FF2B5EF4-FFF2-40B4-BE49-F238E27FC236}">
              <a16:creationId xmlns:a16="http://schemas.microsoft.com/office/drawing/2014/main" id="{00000000-0008-0000-0100-000089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58" name="AutoShape 80">
          <a:extLst>
            <a:ext uri="{FF2B5EF4-FFF2-40B4-BE49-F238E27FC236}">
              <a16:creationId xmlns:a16="http://schemas.microsoft.com/office/drawing/2014/main" id="{00000000-0008-0000-0100-00008A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59" name="AutoShape 84">
          <a:extLst>
            <a:ext uri="{FF2B5EF4-FFF2-40B4-BE49-F238E27FC236}">
              <a16:creationId xmlns:a16="http://schemas.microsoft.com/office/drawing/2014/main" id="{00000000-0008-0000-0100-00008B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0" name="AutoShape 157">
          <a:extLst>
            <a:ext uri="{FF2B5EF4-FFF2-40B4-BE49-F238E27FC236}">
              <a16:creationId xmlns:a16="http://schemas.microsoft.com/office/drawing/2014/main" id="{00000000-0008-0000-0100-00008C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1" name="AutoShape 158">
          <a:extLst>
            <a:ext uri="{FF2B5EF4-FFF2-40B4-BE49-F238E27FC236}">
              <a16:creationId xmlns:a16="http://schemas.microsoft.com/office/drawing/2014/main" id="{00000000-0008-0000-0100-00008D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2" name="AutoShape 124">
          <a:extLst>
            <a:ext uri="{FF2B5EF4-FFF2-40B4-BE49-F238E27FC236}">
              <a16:creationId xmlns:a16="http://schemas.microsoft.com/office/drawing/2014/main" id="{00000000-0008-0000-0100-00008E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263" name="AutoShape 80">
          <a:extLst>
            <a:ext uri="{FF2B5EF4-FFF2-40B4-BE49-F238E27FC236}">
              <a16:creationId xmlns:a16="http://schemas.microsoft.com/office/drawing/2014/main" id="{00000000-0008-0000-0100-00008F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4" name="AutoShape 84">
          <a:extLst>
            <a:ext uri="{FF2B5EF4-FFF2-40B4-BE49-F238E27FC236}">
              <a16:creationId xmlns:a16="http://schemas.microsoft.com/office/drawing/2014/main" id="{00000000-0008-0000-0100-000090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5" name="AutoShape 157">
          <a:extLst>
            <a:ext uri="{FF2B5EF4-FFF2-40B4-BE49-F238E27FC236}">
              <a16:creationId xmlns:a16="http://schemas.microsoft.com/office/drawing/2014/main" id="{00000000-0008-0000-0100-000091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6" name="AutoShape 158">
          <a:extLst>
            <a:ext uri="{FF2B5EF4-FFF2-40B4-BE49-F238E27FC236}">
              <a16:creationId xmlns:a16="http://schemas.microsoft.com/office/drawing/2014/main" id="{00000000-0008-0000-0100-000092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7" name="AutoShape 249">
          <a:extLst>
            <a:ext uri="{FF2B5EF4-FFF2-40B4-BE49-F238E27FC236}">
              <a16:creationId xmlns:a16="http://schemas.microsoft.com/office/drawing/2014/main" id="{00000000-0008-0000-0100-000093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8" name="AutoShape 184">
          <a:extLst>
            <a:ext uri="{FF2B5EF4-FFF2-40B4-BE49-F238E27FC236}">
              <a16:creationId xmlns:a16="http://schemas.microsoft.com/office/drawing/2014/main" id="{00000000-0008-0000-0100-000094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69" name="AutoShape 185">
          <a:extLst>
            <a:ext uri="{FF2B5EF4-FFF2-40B4-BE49-F238E27FC236}">
              <a16:creationId xmlns:a16="http://schemas.microsoft.com/office/drawing/2014/main" id="{00000000-0008-0000-0100-000095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70" name="AutoShape 186">
          <a:extLst>
            <a:ext uri="{FF2B5EF4-FFF2-40B4-BE49-F238E27FC236}">
              <a16:creationId xmlns:a16="http://schemas.microsoft.com/office/drawing/2014/main" id="{00000000-0008-0000-0100-000096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71" name="AutoShape 187">
          <a:extLst>
            <a:ext uri="{FF2B5EF4-FFF2-40B4-BE49-F238E27FC236}">
              <a16:creationId xmlns:a16="http://schemas.microsoft.com/office/drawing/2014/main" id="{00000000-0008-0000-0100-000097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2" name="AutoShape 80">
          <a:extLst>
            <a:ext uri="{FF2B5EF4-FFF2-40B4-BE49-F238E27FC236}">
              <a16:creationId xmlns:a16="http://schemas.microsoft.com/office/drawing/2014/main" id="{00000000-0008-0000-0100-000098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3" name="AutoShape 84">
          <a:extLst>
            <a:ext uri="{FF2B5EF4-FFF2-40B4-BE49-F238E27FC236}">
              <a16:creationId xmlns:a16="http://schemas.microsoft.com/office/drawing/2014/main" id="{00000000-0008-0000-0100-000099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4" name="AutoShape 157">
          <a:extLst>
            <a:ext uri="{FF2B5EF4-FFF2-40B4-BE49-F238E27FC236}">
              <a16:creationId xmlns:a16="http://schemas.microsoft.com/office/drawing/2014/main" id="{00000000-0008-0000-0100-00009A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5" name="AutoShape 158">
          <a:extLst>
            <a:ext uri="{FF2B5EF4-FFF2-40B4-BE49-F238E27FC236}">
              <a16:creationId xmlns:a16="http://schemas.microsoft.com/office/drawing/2014/main" id="{00000000-0008-0000-0100-00009B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6" name="AutoShape 124">
          <a:extLst>
            <a:ext uri="{FF2B5EF4-FFF2-40B4-BE49-F238E27FC236}">
              <a16:creationId xmlns:a16="http://schemas.microsoft.com/office/drawing/2014/main" id="{00000000-0008-0000-0100-00009C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5277" name="AutoShape 80">
          <a:extLst>
            <a:ext uri="{FF2B5EF4-FFF2-40B4-BE49-F238E27FC236}">
              <a16:creationId xmlns:a16="http://schemas.microsoft.com/office/drawing/2014/main" id="{00000000-0008-0000-0100-00009D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8" name="AutoShape 84">
          <a:extLst>
            <a:ext uri="{FF2B5EF4-FFF2-40B4-BE49-F238E27FC236}">
              <a16:creationId xmlns:a16="http://schemas.microsoft.com/office/drawing/2014/main" id="{00000000-0008-0000-0100-00009E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79" name="AutoShape 157">
          <a:extLst>
            <a:ext uri="{FF2B5EF4-FFF2-40B4-BE49-F238E27FC236}">
              <a16:creationId xmlns:a16="http://schemas.microsoft.com/office/drawing/2014/main" id="{00000000-0008-0000-0100-00009F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0" name="AutoShape 158">
          <a:extLst>
            <a:ext uri="{FF2B5EF4-FFF2-40B4-BE49-F238E27FC236}">
              <a16:creationId xmlns:a16="http://schemas.microsoft.com/office/drawing/2014/main" id="{00000000-0008-0000-0100-0000A0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1" name="AutoShape 249">
          <a:extLst>
            <a:ext uri="{FF2B5EF4-FFF2-40B4-BE49-F238E27FC236}">
              <a16:creationId xmlns:a16="http://schemas.microsoft.com/office/drawing/2014/main" id="{00000000-0008-0000-0100-0000A1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2" name="AutoShape 184">
          <a:extLst>
            <a:ext uri="{FF2B5EF4-FFF2-40B4-BE49-F238E27FC236}">
              <a16:creationId xmlns:a16="http://schemas.microsoft.com/office/drawing/2014/main" id="{00000000-0008-0000-0100-0000A2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3" name="AutoShape 185">
          <a:extLst>
            <a:ext uri="{FF2B5EF4-FFF2-40B4-BE49-F238E27FC236}">
              <a16:creationId xmlns:a16="http://schemas.microsoft.com/office/drawing/2014/main" id="{00000000-0008-0000-0100-0000A3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4" name="AutoShape 186">
          <a:extLst>
            <a:ext uri="{FF2B5EF4-FFF2-40B4-BE49-F238E27FC236}">
              <a16:creationId xmlns:a16="http://schemas.microsoft.com/office/drawing/2014/main" id="{00000000-0008-0000-0100-0000A4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285" name="AutoShape 187">
          <a:extLst>
            <a:ext uri="{FF2B5EF4-FFF2-40B4-BE49-F238E27FC236}">
              <a16:creationId xmlns:a16="http://schemas.microsoft.com/office/drawing/2014/main" id="{00000000-0008-0000-0100-0000A5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86" name="AutoShape 80">
          <a:extLst>
            <a:ext uri="{FF2B5EF4-FFF2-40B4-BE49-F238E27FC236}">
              <a16:creationId xmlns:a16="http://schemas.microsoft.com/office/drawing/2014/main" id="{00000000-0008-0000-0100-0000A6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87" name="AutoShape 84">
          <a:extLst>
            <a:ext uri="{FF2B5EF4-FFF2-40B4-BE49-F238E27FC236}">
              <a16:creationId xmlns:a16="http://schemas.microsoft.com/office/drawing/2014/main" id="{00000000-0008-0000-0100-0000A7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88" name="AutoShape 157">
          <a:extLst>
            <a:ext uri="{FF2B5EF4-FFF2-40B4-BE49-F238E27FC236}">
              <a16:creationId xmlns:a16="http://schemas.microsoft.com/office/drawing/2014/main" id="{00000000-0008-0000-0100-0000A8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89" name="AutoShape 158">
          <a:extLst>
            <a:ext uri="{FF2B5EF4-FFF2-40B4-BE49-F238E27FC236}">
              <a16:creationId xmlns:a16="http://schemas.microsoft.com/office/drawing/2014/main" id="{00000000-0008-0000-0100-0000A9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0" name="AutoShape 124">
          <a:extLst>
            <a:ext uri="{FF2B5EF4-FFF2-40B4-BE49-F238E27FC236}">
              <a16:creationId xmlns:a16="http://schemas.microsoft.com/office/drawing/2014/main" id="{00000000-0008-0000-0100-0000AA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291" name="AutoShape 80">
          <a:extLst>
            <a:ext uri="{FF2B5EF4-FFF2-40B4-BE49-F238E27FC236}">
              <a16:creationId xmlns:a16="http://schemas.microsoft.com/office/drawing/2014/main" id="{00000000-0008-0000-0100-0000AB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2" name="AutoShape 84">
          <a:extLst>
            <a:ext uri="{FF2B5EF4-FFF2-40B4-BE49-F238E27FC236}">
              <a16:creationId xmlns:a16="http://schemas.microsoft.com/office/drawing/2014/main" id="{00000000-0008-0000-0100-0000AC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3" name="AutoShape 157">
          <a:extLst>
            <a:ext uri="{FF2B5EF4-FFF2-40B4-BE49-F238E27FC236}">
              <a16:creationId xmlns:a16="http://schemas.microsoft.com/office/drawing/2014/main" id="{00000000-0008-0000-0100-0000AD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4" name="AutoShape 158">
          <a:extLst>
            <a:ext uri="{FF2B5EF4-FFF2-40B4-BE49-F238E27FC236}">
              <a16:creationId xmlns:a16="http://schemas.microsoft.com/office/drawing/2014/main" id="{00000000-0008-0000-0100-0000AE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5" name="AutoShape 249">
          <a:extLst>
            <a:ext uri="{FF2B5EF4-FFF2-40B4-BE49-F238E27FC236}">
              <a16:creationId xmlns:a16="http://schemas.microsoft.com/office/drawing/2014/main" id="{00000000-0008-0000-0100-0000AF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6" name="AutoShape 184">
          <a:extLst>
            <a:ext uri="{FF2B5EF4-FFF2-40B4-BE49-F238E27FC236}">
              <a16:creationId xmlns:a16="http://schemas.microsoft.com/office/drawing/2014/main" id="{00000000-0008-0000-0100-0000B0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7" name="AutoShape 185">
          <a:extLst>
            <a:ext uri="{FF2B5EF4-FFF2-40B4-BE49-F238E27FC236}">
              <a16:creationId xmlns:a16="http://schemas.microsoft.com/office/drawing/2014/main" id="{00000000-0008-0000-0100-0000B1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8" name="AutoShape 186">
          <a:extLst>
            <a:ext uri="{FF2B5EF4-FFF2-40B4-BE49-F238E27FC236}">
              <a16:creationId xmlns:a16="http://schemas.microsoft.com/office/drawing/2014/main" id="{00000000-0008-0000-0100-0000B2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299" name="AutoShape 187">
          <a:extLst>
            <a:ext uri="{FF2B5EF4-FFF2-40B4-BE49-F238E27FC236}">
              <a16:creationId xmlns:a16="http://schemas.microsoft.com/office/drawing/2014/main" id="{00000000-0008-0000-0100-0000B3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0" name="AutoShape 80">
          <a:extLst>
            <a:ext uri="{FF2B5EF4-FFF2-40B4-BE49-F238E27FC236}">
              <a16:creationId xmlns:a16="http://schemas.microsoft.com/office/drawing/2014/main" id="{00000000-0008-0000-0100-0000B4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1" name="AutoShape 84">
          <a:extLst>
            <a:ext uri="{FF2B5EF4-FFF2-40B4-BE49-F238E27FC236}">
              <a16:creationId xmlns:a16="http://schemas.microsoft.com/office/drawing/2014/main" id="{00000000-0008-0000-0100-0000B5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2" name="AutoShape 157">
          <a:extLst>
            <a:ext uri="{FF2B5EF4-FFF2-40B4-BE49-F238E27FC236}">
              <a16:creationId xmlns:a16="http://schemas.microsoft.com/office/drawing/2014/main" id="{00000000-0008-0000-0100-0000B6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3" name="AutoShape 158">
          <a:extLst>
            <a:ext uri="{FF2B5EF4-FFF2-40B4-BE49-F238E27FC236}">
              <a16:creationId xmlns:a16="http://schemas.microsoft.com/office/drawing/2014/main" id="{00000000-0008-0000-0100-0000B7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4" name="AutoShape 124">
          <a:extLst>
            <a:ext uri="{FF2B5EF4-FFF2-40B4-BE49-F238E27FC236}">
              <a16:creationId xmlns:a16="http://schemas.microsoft.com/office/drawing/2014/main" id="{00000000-0008-0000-0100-0000B8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305" name="AutoShape 80">
          <a:extLst>
            <a:ext uri="{FF2B5EF4-FFF2-40B4-BE49-F238E27FC236}">
              <a16:creationId xmlns:a16="http://schemas.microsoft.com/office/drawing/2014/main" id="{00000000-0008-0000-0100-0000B9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6" name="AutoShape 84">
          <a:extLst>
            <a:ext uri="{FF2B5EF4-FFF2-40B4-BE49-F238E27FC236}">
              <a16:creationId xmlns:a16="http://schemas.microsoft.com/office/drawing/2014/main" id="{00000000-0008-0000-0100-0000BA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7" name="AutoShape 157">
          <a:extLst>
            <a:ext uri="{FF2B5EF4-FFF2-40B4-BE49-F238E27FC236}">
              <a16:creationId xmlns:a16="http://schemas.microsoft.com/office/drawing/2014/main" id="{00000000-0008-0000-0100-0000BB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8" name="AutoShape 158">
          <a:extLst>
            <a:ext uri="{FF2B5EF4-FFF2-40B4-BE49-F238E27FC236}">
              <a16:creationId xmlns:a16="http://schemas.microsoft.com/office/drawing/2014/main" id="{00000000-0008-0000-0100-0000BC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09" name="AutoShape 249">
          <a:extLst>
            <a:ext uri="{FF2B5EF4-FFF2-40B4-BE49-F238E27FC236}">
              <a16:creationId xmlns:a16="http://schemas.microsoft.com/office/drawing/2014/main" id="{00000000-0008-0000-0100-0000BD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10" name="AutoShape 184">
          <a:extLst>
            <a:ext uri="{FF2B5EF4-FFF2-40B4-BE49-F238E27FC236}">
              <a16:creationId xmlns:a16="http://schemas.microsoft.com/office/drawing/2014/main" id="{00000000-0008-0000-0100-0000BE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11" name="AutoShape 185">
          <a:extLst>
            <a:ext uri="{FF2B5EF4-FFF2-40B4-BE49-F238E27FC236}">
              <a16:creationId xmlns:a16="http://schemas.microsoft.com/office/drawing/2014/main" id="{00000000-0008-0000-0100-0000BF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12" name="AutoShape 186">
          <a:extLst>
            <a:ext uri="{FF2B5EF4-FFF2-40B4-BE49-F238E27FC236}">
              <a16:creationId xmlns:a16="http://schemas.microsoft.com/office/drawing/2014/main" id="{00000000-0008-0000-0100-0000C014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13" name="AutoShape 187">
          <a:extLst>
            <a:ext uri="{FF2B5EF4-FFF2-40B4-BE49-F238E27FC236}">
              <a16:creationId xmlns:a16="http://schemas.microsoft.com/office/drawing/2014/main" id="{00000000-0008-0000-0100-0000C114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14" name="AutoShape 80">
          <a:extLst>
            <a:ext uri="{FF2B5EF4-FFF2-40B4-BE49-F238E27FC236}">
              <a16:creationId xmlns:a16="http://schemas.microsoft.com/office/drawing/2014/main" id="{00000000-0008-0000-0100-0000C2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15" name="AutoShape 84">
          <a:extLst>
            <a:ext uri="{FF2B5EF4-FFF2-40B4-BE49-F238E27FC236}">
              <a16:creationId xmlns:a16="http://schemas.microsoft.com/office/drawing/2014/main" id="{00000000-0008-0000-0100-0000C3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16" name="AutoShape 157">
          <a:extLst>
            <a:ext uri="{FF2B5EF4-FFF2-40B4-BE49-F238E27FC236}">
              <a16:creationId xmlns:a16="http://schemas.microsoft.com/office/drawing/2014/main" id="{00000000-0008-0000-0100-0000C4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17" name="AutoShape 158">
          <a:extLst>
            <a:ext uri="{FF2B5EF4-FFF2-40B4-BE49-F238E27FC236}">
              <a16:creationId xmlns:a16="http://schemas.microsoft.com/office/drawing/2014/main" id="{00000000-0008-0000-0100-0000C5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18" name="AutoShape 124">
          <a:extLst>
            <a:ext uri="{FF2B5EF4-FFF2-40B4-BE49-F238E27FC236}">
              <a16:creationId xmlns:a16="http://schemas.microsoft.com/office/drawing/2014/main" id="{00000000-0008-0000-0100-0000C6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319" name="AutoShape 80">
          <a:extLst>
            <a:ext uri="{FF2B5EF4-FFF2-40B4-BE49-F238E27FC236}">
              <a16:creationId xmlns:a16="http://schemas.microsoft.com/office/drawing/2014/main" id="{00000000-0008-0000-0100-0000C7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0" name="AutoShape 84">
          <a:extLst>
            <a:ext uri="{FF2B5EF4-FFF2-40B4-BE49-F238E27FC236}">
              <a16:creationId xmlns:a16="http://schemas.microsoft.com/office/drawing/2014/main" id="{00000000-0008-0000-0100-0000C8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1" name="AutoShape 157">
          <a:extLst>
            <a:ext uri="{FF2B5EF4-FFF2-40B4-BE49-F238E27FC236}">
              <a16:creationId xmlns:a16="http://schemas.microsoft.com/office/drawing/2014/main" id="{00000000-0008-0000-0100-0000C9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2" name="AutoShape 158">
          <a:extLst>
            <a:ext uri="{FF2B5EF4-FFF2-40B4-BE49-F238E27FC236}">
              <a16:creationId xmlns:a16="http://schemas.microsoft.com/office/drawing/2014/main" id="{00000000-0008-0000-0100-0000CA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3" name="AutoShape 249">
          <a:extLst>
            <a:ext uri="{FF2B5EF4-FFF2-40B4-BE49-F238E27FC236}">
              <a16:creationId xmlns:a16="http://schemas.microsoft.com/office/drawing/2014/main" id="{00000000-0008-0000-0100-0000CB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4" name="AutoShape 184">
          <a:extLst>
            <a:ext uri="{FF2B5EF4-FFF2-40B4-BE49-F238E27FC236}">
              <a16:creationId xmlns:a16="http://schemas.microsoft.com/office/drawing/2014/main" id="{00000000-0008-0000-0100-0000CC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5" name="AutoShape 185">
          <a:extLst>
            <a:ext uri="{FF2B5EF4-FFF2-40B4-BE49-F238E27FC236}">
              <a16:creationId xmlns:a16="http://schemas.microsoft.com/office/drawing/2014/main" id="{00000000-0008-0000-0100-0000CD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6" name="AutoShape 186">
          <a:extLst>
            <a:ext uri="{FF2B5EF4-FFF2-40B4-BE49-F238E27FC236}">
              <a16:creationId xmlns:a16="http://schemas.microsoft.com/office/drawing/2014/main" id="{00000000-0008-0000-0100-0000CE14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27" name="AutoShape 187">
          <a:extLst>
            <a:ext uri="{FF2B5EF4-FFF2-40B4-BE49-F238E27FC236}">
              <a16:creationId xmlns:a16="http://schemas.microsoft.com/office/drawing/2014/main" id="{00000000-0008-0000-0100-0000CF14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28" name="AutoShape 80">
          <a:extLst>
            <a:ext uri="{FF2B5EF4-FFF2-40B4-BE49-F238E27FC236}">
              <a16:creationId xmlns:a16="http://schemas.microsoft.com/office/drawing/2014/main" id="{00000000-0008-0000-0100-0000D0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29" name="AutoShape 84">
          <a:extLst>
            <a:ext uri="{FF2B5EF4-FFF2-40B4-BE49-F238E27FC236}">
              <a16:creationId xmlns:a16="http://schemas.microsoft.com/office/drawing/2014/main" id="{00000000-0008-0000-0100-0000D1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0" name="AutoShape 157">
          <a:extLst>
            <a:ext uri="{FF2B5EF4-FFF2-40B4-BE49-F238E27FC236}">
              <a16:creationId xmlns:a16="http://schemas.microsoft.com/office/drawing/2014/main" id="{00000000-0008-0000-0100-0000D2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1" name="AutoShape 158">
          <a:extLst>
            <a:ext uri="{FF2B5EF4-FFF2-40B4-BE49-F238E27FC236}">
              <a16:creationId xmlns:a16="http://schemas.microsoft.com/office/drawing/2014/main" id="{00000000-0008-0000-0100-0000D3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2" name="AutoShape 124">
          <a:extLst>
            <a:ext uri="{FF2B5EF4-FFF2-40B4-BE49-F238E27FC236}">
              <a16:creationId xmlns:a16="http://schemas.microsoft.com/office/drawing/2014/main" id="{00000000-0008-0000-0100-0000D4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333" name="AutoShape 80">
          <a:extLst>
            <a:ext uri="{FF2B5EF4-FFF2-40B4-BE49-F238E27FC236}">
              <a16:creationId xmlns:a16="http://schemas.microsoft.com/office/drawing/2014/main" id="{00000000-0008-0000-0100-0000D5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4" name="AutoShape 84">
          <a:extLst>
            <a:ext uri="{FF2B5EF4-FFF2-40B4-BE49-F238E27FC236}">
              <a16:creationId xmlns:a16="http://schemas.microsoft.com/office/drawing/2014/main" id="{00000000-0008-0000-0100-0000D6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5" name="AutoShape 157">
          <a:extLst>
            <a:ext uri="{FF2B5EF4-FFF2-40B4-BE49-F238E27FC236}">
              <a16:creationId xmlns:a16="http://schemas.microsoft.com/office/drawing/2014/main" id="{00000000-0008-0000-0100-0000D7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6" name="AutoShape 158">
          <a:extLst>
            <a:ext uri="{FF2B5EF4-FFF2-40B4-BE49-F238E27FC236}">
              <a16:creationId xmlns:a16="http://schemas.microsoft.com/office/drawing/2014/main" id="{00000000-0008-0000-0100-0000D8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7" name="AutoShape 249">
          <a:extLst>
            <a:ext uri="{FF2B5EF4-FFF2-40B4-BE49-F238E27FC236}">
              <a16:creationId xmlns:a16="http://schemas.microsoft.com/office/drawing/2014/main" id="{00000000-0008-0000-0100-0000D9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8" name="AutoShape 184">
          <a:extLst>
            <a:ext uri="{FF2B5EF4-FFF2-40B4-BE49-F238E27FC236}">
              <a16:creationId xmlns:a16="http://schemas.microsoft.com/office/drawing/2014/main" id="{00000000-0008-0000-0100-0000DA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39" name="AutoShape 185">
          <a:extLst>
            <a:ext uri="{FF2B5EF4-FFF2-40B4-BE49-F238E27FC236}">
              <a16:creationId xmlns:a16="http://schemas.microsoft.com/office/drawing/2014/main" id="{00000000-0008-0000-0100-0000DB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0" name="AutoShape 186">
          <a:extLst>
            <a:ext uri="{FF2B5EF4-FFF2-40B4-BE49-F238E27FC236}">
              <a16:creationId xmlns:a16="http://schemas.microsoft.com/office/drawing/2014/main" id="{00000000-0008-0000-0100-0000DC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1" name="AutoShape 187">
          <a:extLst>
            <a:ext uri="{FF2B5EF4-FFF2-40B4-BE49-F238E27FC236}">
              <a16:creationId xmlns:a16="http://schemas.microsoft.com/office/drawing/2014/main" id="{00000000-0008-0000-0100-0000DD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2" name="AutoShape 80">
          <a:extLst>
            <a:ext uri="{FF2B5EF4-FFF2-40B4-BE49-F238E27FC236}">
              <a16:creationId xmlns:a16="http://schemas.microsoft.com/office/drawing/2014/main" id="{00000000-0008-0000-0100-0000DE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3" name="AutoShape 84">
          <a:extLst>
            <a:ext uri="{FF2B5EF4-FFF2-40B4-BE49-F238E27FC236}">
              <a16:creationId xmlns:a16="http://schemas.microsoft.com/office/drawing/2014/main" id="{00000000-0008-0000-0100-0000DF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4" name="AutoShape 157">
          <a:extLst>
            <a:ext uri="{FF2B5EF4-FFF2-40B4-BE49-F238E27FC236}">
              <a16:creationId xmlns:a16="http://schemas.microsoft.com/office/drawing/2014/main" id="{00000000-0008-0000-0100-0000E0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5" name="AutoShape 158">
          <a:extLst>
            <a:ext uri="{FF2B5EF4-FFF2-40B4-BE49-F238E27FC236}">
              <a16:creationId xmlns:a16="http://schemas.microsoft.com/office/drawing/2014/main" id="{00000000-0008-0000-0100-0000E1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6" name="AutoShape 124">
          <a:extLst>
            <a:ext uri="{FF2B5EF4-FFF2-40B4-BE49-F238E27FC236}">
              <a16:creationId xmlns:a16="http://schemas.microsoft.com/office/drawing/2014/main" id="{00000000-0008-0000-0100-0000E2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347" name="AutoShape 80">
          <a:extLst>
            <a:ext uri="{FF2B5EF4-FFF2-40B4-BE49-F238E27FC236}">
              <a16:creationId xmlns:a16="http://schemas.microsoft.com/office/drawing/2014/main" id="{00000000-0008-0000-0100-0000E3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8" name="AutoShape 84">
          <a:extLst>
            <a:ext uri="{FF2B5EF4-FFF2-40B4-BE49-F238E27FC236}">
              <a16:creationId xmlns:a16="http://schemas.microsoft.com/office/drawing/2014/main" id="{00000000-0008-0000-0100-0000E4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49" name="AutoShape 157">
          <a:extLst>
            <a:ext uri="{FF2B5EF4-FFF2-40B4-BE49-F238E27FC236}">
              <a16:creationId xmlns:a16="http://schemas.microsoft.com/office/drawing/2014/main" id="{00000000-0008-0000-0100-0000E5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0" name="AutoShape 158">
          <a:extLst>
            <a:ext uri="{FF2B5EF4-FFF2-40B4-BE49-F238E27FC236}">
              <a16:creationId xmlns:a16="http://schemas.microsoft.com/office/drawing/2014/main" id="{00000000-0008-0000-0100-0000E6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1" name="AutoShape 249">
          <a:extLst>
            <a:ext uri="{FF2B5EF4-FFF2-40B4-BE49-F238E27FC236}">
              <a16:creationId xmlns:a16="http://schemas.microsoft.com/office/drawing/2014/main" id="{00000000-0008-0000-0100-0000E7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2" name="AutoShape 184">
          <a:extLst>
            <a:ext uri="{FF2B5EF4-FFF2-40B4-BE49-F238E27FC236}">
              <a16:creationId xmlns:a16="http://schemas.microsoft.com/office/drawing/2014/main" id="{00000000-0008-0000-0100-0000E8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3" name="AutoShape 185">
          <a:extLst>
            <a:ext uri="{FF2B5EF4-FFF2-40B4-BE49-F238E27FC236}">
              <a16:creationId xmlns:a16="http://schemas.microsoft.com/office/drawing/2014/main" id="{00000000-0008-0000-0100-0000E9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4" name="AutoShape 186">
          <a:extLst>
            <a:ext uri="{FF2B5EF4-FFF2-40B4-BE49-F238E27FC236}">
              <a16:creationId xmlns:a16="http://schemas.microsoft.com/office/drawing/2014/main" id="{00000000-0008-0000-0100-0000EA14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55" name="AutoShape 187">
          <a:extLst>
            <a:ext uri="{FF2B5EF4-FFF2-40B4-BE49-F238E27FC236}">
              <a16:creationId xmlns:a16="http://schemas.microsoft.com/office/drawing/2014/main" id="{00000000-0008-0000-0100-0000EB14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56" name="AutoShape 80">
          <a:extLst>
            <a:ext uri="{FF2B5EF4-FFF2-40B4-BE49-F238E27FC236}">
              <a16:creationId xmlns:a16="http://schemas.microsoft.com/office/drawing/2014/main" id="{00000000-0008-0000-0100-0000EC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57" name="AutoShape 84">
          <a:extLst>
            <a:ext uri="{FF2B5EF4-FFF2-40B4-BE49-F238E27FC236}">
              <a16:creationId xmlns:a16="http://schemas.microsoft.com/office/drawing/2014/main" id="{00000000-0008-0000-0100-0000ED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58" name="AutoShape 157">
          <a:extLst>
            <a:ext uri="{FF2B5EF4-FFF2-40B4-BE49-F238E27FC236}">
              <a16:creationId xmlns:a16="http://schemas.microsoft.com/office/drawing/2014/main" id="{00000000-0008-0000-0100-0000EE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59" name="AutoShape 158">
          <a:extLst>
            <a:ext uri="{FF2B5EF4-FFF2-40B4-BE49-F238E27FC236}">
              <a16:creationId xmlns:a16="http://schemas.microsoft.com/office/drawing/2014/main" id="{00000000-0008-0000-0100-0000EF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0" name="AutoShape 124">
          <a:extLst>
            <a:ext uri="{FF2B5EF4-FFF2-40B4-BE49-F238E27FC236}">
              <a16:creationId xmlns:a16="http://schemas.microsoft.com/office/drawing/2014/main" id="{00000000-0008-0000-0100-0000F0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20</xdr:col>
      <xdr:colOff>0</xdr:colOff>
      <xdr:row>66</xdr:row>
      <xdr:rowOff>0</xdr:rowOff>
    </xdr:to>
    <xdr:sp macro="" textlink="">
      <xdr:nvSpPr>
        <xdr:cNvPr id="5361" name="AutoShape 80">
          <a:extLst>
            <a:ext uri="{FF2B5EF4-FFF2-40B4-BE49-F238E27FC236}">
              <a16:creationId xmlns:a16="http://schemas.microsoft.com/office/drawing/2014/main" id="{00000000-0008-0000-0100-0000F1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2" name="AutoShape 84">
          <a:extLst>
            <a:ext uri="{FF2B5EF4-FFF2-40B4-BE49-F238E27FC236}">
              <a16:creationId xmlns:a16="http://schemas.microsoft.com/office/drawing/2014/main" id="{00000000-0008-0000-0100-0000F2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3" name="AutoShape 157">
          <a:extLst>
            <a:ext uri="{FF2B5EF4-FFF2-40B4-BE49-F238E27FC236}">
              <a16:creationId xmlns:a16="http://schemas.microsoft.com/office/drawing/2014/main" id="{00000000-0008-0000-0100-0000F3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4" name="AutoShape 158">
          <a:extLst>
            <a:ext uri="{FF2B5EF4-FFF2-40B4-BE49-F238E27FC236}">
              <a16:creationId xmlns:a16="http://schemas.microsoft.com/office/drawing/2014/main" id="{00000000-0008-0000-0100-0000F4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5" name="AutoShape 249">
          <a:extLst>
            <a:ext uri="{FF2B5EF4-FFF2-40B4-BE49-F238E27FC236}">
              <a16:creationId xmlns:a16="http://schemas.microsoft.com/office/drawing/2014/main" id="{00000000-0008-0000-0100-0000F5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6" name="AutoShape 184">
          <a:extLst>
            <a:ext uri="{FF2B5EF4-FFF2-40B4-BE49-F238E27FC236}">
              <a16:creationId xmlns:a16="http://schemas.microsoft.com/office/drawing/2014/main" id="{00000000-0008-0000-0100-0000F6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7" name="AutoShape 185">
          <a:extLst>
            <a:ext uri="{FF2B5EF4-FFF2-40B4-BE49-F238E27FC236}">
              <a16:creationId xmlns:a16="http://schemas.microsoft.com/office/drawing/2014/main" id="{00000000-0008-0000-0100-0000F7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8" name="AutoShape 186">
          <a:extLst>
            <a:ext uri="{FF2B5EF4-FFF2-40B4-BE49-F238E27FC236}">
              <a16:creationId xmlns:a16="http://schemas.microsoft.com/office/drawing/2014/main" id="{00000000-0008-0000-0100-0000F814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66</xdr:row>
      <xdr:rowOff>0</xdr:rowOff>
    </xdr:from>
    <xdr:to>
      <xdr:col>19</xdr:col>
      <xdr:colOff>495300</xdr:colOff>
      <xdr:row>66</xdr:row>
      <xdr:rowOff>0</xdr:rowOff>
    </xdr:to>
    <xdr:sp macro="" textlink="">
      <xdr:nvSpPr>
        <xdr:cNvPr id="5369" name="AutoShape 187">
          <a:extLst>
            <a:ext uri="{FF2B5EF4-FFF2-40B4-BE49-F238E27FC236}">
              <a16:creationId xmlns:a16="http://schemas.microsoft.com/office/drawing/2014/main" id="{00000000-0008-0000-0100-0000F914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0" name="AutoShape 80">
          <a:extLst>
            <a:ext uri="{FF2B5EF4-FFF2-40B4-BE49-F238E27FC236}">
              <a16:creationId xmlns:a16="http://schemas.microsoft.com/office/drawing/2014/main" id="{00000000-0008-0000-0100-0000FA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1" name="AutoShape 84">
          <a:extLst>
            <a:ext uri="{FF2B5EF4-FFF2-40B4-BE49-F238E27FC236}">
              <a16:creationId xmlns:a16="http://schemas.microsoft.com/office/drawing/2014/main" id="{00000000-0008-0000-0100-0000FB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2" name="AutoShape 157">
          <a:extLst>
            <a:ext uri="{FF2B5EF4-FFF2-40B4-BE49-F238E27FC236}">
              <a16:creationId xmlns:a16="http://schemas.microsoft.com/office/drawing/2014/main" id="{00000000-0008-0000-0100-0000FC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3" name="AutoShape 158">
          <a:extLst>
            <a:ext uri="{FF2B5EF4-FFF2-40B4-BE49-F238E27FC236}">
              <a16:creationId xmlns:a16="http://schemas.microsoft.com/office/drawing/2014/main" id="{00000000-0008-0000-0100-0000FD14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4" name="AutoShape 124">
          <a:extLst>
            <a:ext uri="{FF2B5EF4-FFF2-40B4-BE49-F238E27FC236}">
              <a16:creationId xmlns:a16="http://schemas.microsoft.com/office/drawing/2014/main" id="{00000000-0008-0000-0100-0000FE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375" name="AutoShape 80">
          <a:extLst>
            <a:ext uri="{FF2B5EF4-FFF2-40B4-BE49-F238E27FC236}">
              <a16:creationId xmlns:a16="http://schemas.microsoft.com/office/drawing/2014/main" id="{00000000-0008-0000-0100-0000FF14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6" name="AutoShape 84">
          <a:extLst>
            <a:ext uri="{FF2B5EF4-FFF2-40B4-BE49-F238E27FC236}">
              <a16:creationId xmlns:a16="http://schemas.microsoft.com/office/drawing/2014/main" id="{00000000-0008-0000-0100-000000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7" name="AutoShape 157">
          <a:extLst>
            <a:ext uri="{FF2B5EF4-FFF2-40B4-BE49-F238E27FC236}">
              <a16:creationId xmlns:a16="http://schemas.microsoft.com/office/drawing/2014/main" id="{00000000-0008-0000-0100-000001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8" name="AutoShape 158">
          <a:extLst>
            <a:ext uri="{FF2B5EF4-FFF2-40B4-BE49-F238E27FC236}">
              <a16:creationId xmlns:a16="http://schemas.microsoft.com/office/drawing/2014/main" id="{00000000-0008-0000-0100-000002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79" name="AutoShape 249">
          <a:extLst>
            <a:ext uri="{FF2B5EF4-FFF2-40B4-BE49-F238E27FC236}">
              <a16:creationId xmlns:a16="http://schemas.microsoft.com/office/drawing/2014/main" id="{00000000-0008-0000-0100-000003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80" name="AutoShape 184">
          <a:extLst>
            <a:ext uri="{FF2B5EF4-FFF2-40B4-BE49-F238E27FC236}">
              <a16:creationId xmlns:a16="http://schemas.microsoft.com/office/drawing/2014/main" id="{00000000-0008-0000-0100-000004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81" name="AutoShape 185">
          <a:extLst>
            <a:ext uri="{FF2B5EF4-FFF2-40B4-BE49-F238E27FC236}">
              <a16:creationId xmlns:a16="http://schemas.microsoft.com/office/drawing/2014/main" id="{00000000-0008-0000-0100-000005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82" name="AutoShape 186">
          <a:extLst>
            <a:ext uri="{FF2B5EF4-FFF2-40B4-BE49-F238E27FC236}">
              <a16:creationId xmlns:a16="http://schemas.microsoft.com/office/drawing/2014/main" id="{00000000-0008-0000-0100-000006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383" name="AutoShape 187">
          <a:extLst>
            <a:ext uri="{FF2B5EF4-FFF2-40B4-BE49-F238E27FC236}">
              <a16:creationId xmlns:a16="http://schemas.microsoft.com/office/drawing/2014/main" id="{00000000-0008-0000-0100-000007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84" name="AutoShape 80">
          <a:extLst>
            <a:ext uri="{FF2B5EF4-FFF2-40B4-BE49-F238E27FC236}">
              <a16:creationId xmlns:a16="http://schemas.microsoft.com/office/drawing/2014/main" id="{00000000-0008-0000-0100-000008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85" name="AutoShape 84">
          <a:extLst>
            <a:ext uri="{FF2B5EF4-FFF2-40B4-BE49-F238E27FC236}">
              <a16:creationId xmlns:a16="http://schemas.microsoft.com/office/drawing/2014/main" id="{00000000-0008-0000-0100-000009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86" name="AutoShape 157">
          <a:extLst>
            <a:ext uri="{FF2B5EF4-FFF2-40B4-BE49-F238E27FC236}">
              <a16:creationId xmlns:a16="http://schemas.microsoft.com/office/drawing/2014/main" id="{00000000-0008-0000-0100-00000A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87" name="AutoShape 158">
          <a:extLst>
            <a:ext uri="{FF2B5EF4-FFF2-40B4-BE49-F238E27FC236}">
              <a16:creationId xmlns:a16="http://schemas.microsoft.com/office/drawing/2014/main" id="{00000000-0008-0000-0100-00000B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88" name="AutoShape 124">
          <a:extLst>
            <a:ext uri="{FF2B5EF4-FFF2-40B4-BE49-F238E27FC236}">
              <a16:creationId xmlns:a16="http://schemas.microsoft.com/office/drawing/2014/main" id="{00000000-0008-0000-0100-00000C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389" name="AutoShape 80">
          <a:extLst>
            <a:ext uri="{FF2B5EF4-FFF2-40B4-BE49-F238E27FC236}">
              <a16:creationId xmlns:a16="http://schemas.microsoft.com/office/drawing/2014/main" id="{00000000-0008-0000-0100-00000D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0" name="AutoShape 84">
          <a:extLst>
            <a:ext uri="{FF2B5EF4-FFF2-40B4-BE49-F238E27FC236}">
              <a16:creationId xmlns:a16="http://schemas.microsoft.com/office/drawing/2014/main" id="{00000000-0008-0000-0100-00000E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1" name="AutoShape 157">
          <a:extLst>
            <a:ext uri="{FF2B5EF4-FFF2-40B4-BE49-F238E27FC236}">
              <a16:creationId xmlns:a16="http://schemas.microsoft.com/office/drawing/2014/main" id="{00000000-0008-0000-0100-00000F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2" name="AutoShape 158">
          <a:extLst>
            <a:ext uri="{FF2B5EF4-FFF2-40B4-BE49-F238E27FC236}">
              <a16:creationId xmlns:a16="http://schemas.microsoft.com/office/drawing/2014/main" id="{00000000-0008-0000-0100-000010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3" name="AutoShape 249">
          <a:extLst>
            <a:ext uri="{FF2B5EF4-FFF2-40B4-BE49-F238E27FC236}">
              <a16:creationId xmlns:a16="http://schemas.microsoft.com/office/drawing/2014/main" id="{00000000-0008-0000-0100-000011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4" name="AutoShape 184">
          <a:extLst>
            <a:ext uri="{FF2B5EF4-FFF2-40B4-BE49-F238E27FC236}">
              <a16:creationId xmlns:a16="http://schemas.microsoft.com/office/drawing/2014/main" id="{00000000-0008-0000-0100-000012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5" name="AutoShape 185">
          <a:extLst>
            <a:ext uri="{FF2B5EF4-FFF2-40B4-BE49-F238E27FC236}">
              <a16:creationId xmlns:a16="http://schemas.microsoft.com/office/drawing/2014/main" id="{00000000-0008-0000-0100-000013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6" name="AutoShape 186">
          <a:extLst>
            <a:ext uri="{FF2B5EF4-FFF2-40B4-BE49-F238E27FC236}">
              <a16:creationId xmlns:a16="http://schemas.microsoft.com/office/drawing/2014/main" id="{00000000-0008-0000-0100-000014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397" name="AutoShape 187">
          <a:extLst>
            <a:ext uri="{FF2B5EF4-FFF2-40B4-BE49-F238E27FC236}">
              <a16:creationId xmlns:a16="http://schemas.microsoft.com/office/drawing/2014/main" id="{00000000-0008-0000-0100-000015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98" name="AutoShape 80">
          <a:extLst>
            <a:ext uri="{FF2B5EF4-FFF2-40B4-BE49-F238E27FC236}">
              <a16:creationId xmlns:a16="http://schemas.microsoft.com/office/drawing/2014/main" id="{00000000-0008-0000-0100-000016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399" name="AutoShape 84">
          <a:extLst>
            <a:ext uri="{FF2B5EF4-FFF2-40B4-BE49-F238E27FC236}">
              <a16:creationId xmlns:a16="http://schemas.microsoft.com/office/drawing/2014/main" id="{00000000-0008-0000-0100-000017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0" name="AutoShape 157">
          <a:extLst>
            <a:ext uri="{FF2B5EF4-FFF2-40B4-BE49-F238E27FC236}">
              <a16:creationId xmlns:a16="http://schemas.microsoft.com/office/drawing/2014/main" id="{00000000-0008-0000-0100-000018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1" name="AutoShape 158">
          <a:extLst>
            <a:ext uri="{FF2B5EF4-FFF2-40B4-BE49-F238E27FC236}">
              <a16:creationId xmlns:a16="http://schemas.microsoft.com/office/drawing/2014/main" id="{00000000-0008-0000-0100-000019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2" name="AutoShape 124">
          <a:extLst>
            <a:ext uri="{FF2B5EF4-FFF2-40B4-BE49-F238E27FC236}">
              <a16:creationId xmlns:a16="http://schemas.microsoft.com/office/drawing/2014/main" id="{00000000-0008-0000-0100-00001A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403" name="AutoShape 80">
          <a:extLst>
            <a:ext uri="{FF2B5EF4-FFF2-40B4-BE49-F238E27FC236}">
              <a16:creationId xmlns:a16="http://schemas.microsoft.com/office/drawing/2014/main" id="{00000000-0008-0000-0100-00001B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4" name="AutoShape 84">
          <a:extLst>
            <a:ext uri="{FF2B5EF4-FFF2-40B4-BE49-F238E27FC236}">
              <a16:creationId xmlns:a16="http://schemas.microsoft.com/office/drawing/2014/main" id="{00000000-0008-0000-0100-00001C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5" name="AutoShape 157">
          <a:extLst>
            <a:ext uri="{FF2B5EF4-FFF2-40B4-BE49-F238E27FC236}">
              <a16:creationId xmlns:a16="http://schemas.microsoft.com/office/drawing/2014/main" id="{00000000-0008-0000-0100-00001D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6" name="AutoShape 158">
          <a:extLst>
            <a:ext uri="{FF2B5EF4-FFF2-40B4-BE49-F238E27FC236}">
              <a16:creationId xmlns:a16="http://schemas.microsoft.com/office/drawing/2014/main" id="{00000000-0008-0000-0100-00001E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7" name="AutoShape 249">
          <a:extLst>
            <a:ext uri="{FF2B5EF4-FFF2-40B4-BE49-F238E27FC236}">
              <a16:creationId xmlns:a16="http://schemas.microsoft.com/office/drawing/2014/main" id="{00000000-0008-0000-0100-00001F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8" name="AutoShape 184">
          <a:extLst>
            <a:ext uri="{FF2B5EF4-FFF2-40B4-BE49-F238E27FC236}">
              <a16:creationId xmlns:a16="http://schemas.microsoft.com/office/drawing/2014/main" id="{00000000-0008-0000-0100-000020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09" name="AutoShape 185">
          <a:extLst>
            <a:ext uri="{FF2B5EF4-FFF2-40B4-BE49-F238E27FC236}">
              <a16:creationId xmlns:a16="http://schemas.microsoft.com/office/drawing/2014/main" id="{00000000-0008-0000-0100-000021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10" name="AutoShape 186">
          <a:extLst>
            <a:ext uri="{FF2B5EF4-FFF2-40B4-BE49-F238E27FC236}">
              <a16:creationId xmlns:a16="http://schemas.microsoft.com/office/drawing/2014/main" id="{00000000-0008-0000-0100-000022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411" name="AutoShape 187">
          <a:extLst>
            <a:ext uri="{FF2B5EF4-FFF2-40B4-BE49-F238E27FC236}">
              <a16:creationId xmlns:a16="http://schemas.microsoft.com/office/drawing/2014/main" id="{00000000-0008-0000-0100-000023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2" name="AutoShape 80">
          <a:extLst>
            <a:ext uri="{FF2B5EF4-FFF2-40B4-BE49-F238E27FC236}">
              <a16:creationId xmlns:a16="http://schemas.microsoft.com/office/drawing/2014/main" id="{00000000-0008-0000-0100-000024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3" name="AutoShape 84">
          <a:extLst>
            <a:ext uri="{FF2B5EF4-FFF2-40B4-BE49-F238E27FC236}">
              <a16:creationId xmlns:a16="http://schemas.microsoft.com/office/drawing/2014/main" id="{00000000-0008-0000-0100-000025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4" name="AutoShape 157">
          <a:extLst>
            <a:ext uri="{FF2B5EF4-FFF2-40B4-BE49-F238E27FC236}">
              <a16:creationId xmlns:a16="http://schemas.microsoft.com/office/drawing/2014/main" id="{00000000-0008-0000-0100-000026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5" name="AutoShape 158">
          <a:extLst>
            <a:ext uri="{FF2B5EF4-FFF2-40B4-BE49-F238E27FC236}">
              <a16:creationId xmlns:a16="http://schemas.microsoft.com/office/drawing/2014/main" id="{00000000-0008-0000-0100-000027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6" name="AutoShape 124">
          <a:extLst>
            <a:ext uri="{FF2B5EF4-FFF2-40B4-BE49-F238E27FC236}">
              <a16:creationId xmlns:a16="http://schemas.microsoft.com/office/drawing/2014/main" id="{00000000-0008-0000-0100-000028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417" name="AutoShape 80">
          <a:extLst>
            <a:ext uri="{FF2B5EF4-FFF2-40B4-BE49-F238E27FC236}">
              <a16:creationId xmlns:a16="http://schemas.microsoft.com/office/drawing/2014/main" id="{00000000-0008-0000-0100-000029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8" name="AutoShape 84">
          <a:extLst>
            <a:ext uri="{FF2B5EF4-FFF2-40B4-BE49-F238E27FC236}">
              <a16:creationId xmlns:a16="http://schemas.microsoft.com/office/drawing/2014/main" id="{00000000-0008-0000-0100-00002A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19" name="AutoShape 157">
          <a:extLst>
            <a:ext uri="{FF2B5EF4-FFF2-40B4-BE49-F238E27FC236}">
              <a16:creationId xmlns:a16="http://schemas.microsoft.com/office/drawing/2014/main" id="{00000000-0008-0000-0100-00002B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0" name="AutoShape 158">
          <a:extLst>
            <a:ext uri="{FF2B5EF4-FFF2-40B4-BE49-F238E27FC236}">
              <a16:creationId xmlns:a16="http://schemas.microsoft.com/office/drawing/2014/main" id="{00000000-0008-0000-0100-00002C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1" name="AutoShape 249">
          <a:extLst>
            <a:ext uri="{FF2B5EF4-FFF2-40B4-BE49-F238E27FC236}">
              <a16:creationId xmlns:a16="http://schemas.microsoft.com/office/drawing/2014/main" id="{00000000-0008-0000-0100-00002D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2" name="AutoShape 184">
          <a:extLst>
            <a:ext uri="{FF2B5EF4-FFF2-40B4-BE49-F238E27FC236}">
              <a16:creationId xmlns:a16="http://schemas.microsoft.com/office/drawing/2014/main" id="{00000000-0008-0000-0100-00002E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3" name="AutoShape 185">
          <a:extLst>
            <a:ext uri="{FF2B5EF4-FFF2-40B4-BE49-F238E27FC236}">
              <a16:creationId xmlns:a16="http://schemas.microsoft.com/office/drawing/2014/main" id="{00000000-0008-0000-0100-00002F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4" name="AutoShape 186">
          <a:extLst>
            <a:ext uri="{FF2B5EF4-FFF2-40B4-BE49-F238E27FC236}">
              <a16:creationId xmlns:a16="http://schemas.microsoft.com/office/drawing/2014/main" id="{00000000-0008-0000-0100-000030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25" name="AutoShape 187">
          <a:extLst>
            <a:ext uri="{FF2B5EF4-FFF2-40B4-BE49-F238E27FC236}">
              <a16:creationId xmlns:a16="http://schemas.microsoft.com/office/drawing/2014/main" id="{00000000-0008-0000-0100-000031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26" name="AutoShape 80">
          <a:extLst>
            <a:ext uri="{FF2B5EF4-FFF2-40B4-BE49-F238E27FC236}">
              <a16:creationId xmlns:a16="http://schemas.microsoft.com/office/drawing/2014/main" id="{00000000-0008-0000-0100-000032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27" name="AutoShape 84">
          <a:extLst>
            <a:ext uri="{FF2B5EF4-FFF2-40B4-BE49-F238E27FC236}">
              <a16:creationId xmlns:a16="http://schemas.microsoft.com/office/drawing/2014/main" id="{00000000-0008-0000-0100-000033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28" name="AutoShape 157">
          <a:extLst>
            <a:ext uri="{FF2B5EF4-FFF2-40B4-BE49-F238E27FC236}">
              <a16:creationId xmlns:a16="http://schemas.microsoft.com/office/drawing/2014/main" id="{00000000-0008-0000-0100-000034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29" name="AutoShape 158">
          <a:extLst>
            <a:ext uri="{FF2B5EF4-FFF2-40B4-BE49-F238E27FC236}">
              <a16:creationId xmlns:a16="http://schemas.microsoft.com/office/drawing/2014/main" id="{00000000-0008-0000-0100-000035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0" name="AutoShape 124">
          <a:extLst>
            <a:ext uri="{FF2B5EF4-FFF2-40B4-BE49-F238E27FC236}">
              <a16:creationId xmlns:a16="http://schemas.microsoft.com/office/drawing/2014/main" id="{00000000-0008-0000-0100-000036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431" name="AutoShape 80">
          <a:extLst>
            <a:ext uri="{FF2B5EF4-FFF2-40B4-BE49-F238E27FC236}">
              <a16:creationId xmlns:a16="http://schemas.microsoft.com/office/drawing/2014/main" id="{00000000-0008-0000-0100-000037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2" name="AutoShape 84">
          <a:extLst>
            <a:ext uri="{FF2B5EF4-FFF2-40B4-BE49-F238E27FC236}">
              <a16:creationId xmlns:a16="http://schemas.microsoft.com/office/drawing/2014/main" id="{00000000-0008-0000-0100-000038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3" name="AutoShape 157">
          <a:extLst>
            <a:ext uri="{FF2B5EF4-FFF2-40B4-BE49-F238E27FC236}">
              <a16:creationId xmlns:a16="http://schemas.microsoft.com/office/drawing/2014/main" id="{00000000-0008-0000-0100-000039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4" name="AutoShape 158">
          <a:extLst>
            <a:ext uri="{FF2B5EF4-FFF2-40B4-BE49-F238E27FC236}">
              <a16:creationId xmlns:a16="http://schemas.microsoft.com/office/drawing/2014/main" id="{00000000-0008-0000-0100-00003A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5" name="AutoShape 249">
          <a:extLst>
            <a:ext uri="{FF2B5EF4-FFF2-40B4-BE49-F238E27FC236}">
              <a16:creationId xmlns:a16="http://schemas.microsoft.com/office/drawing/2014/main" id="{00000000-0008-0000-0100-00003B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6" name="AutoShape 184">
          <a:extLst>
            <a:ext uri="{FF2B5EF4-FFF2-40B4-BE49-F238E27FC236}">
              <a16:creationId xmlns:a16="http://schemas.microsoft.com/office/drawing/2014/main" id="{00000000-0008-0000-0100-00003C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7" name="AutoShape 185">
          <a:extLst>
            <a:ext uri="{FF2B5EF4-FFF2-40B4-BE49-F238E27FC236}">
              <a16:creationId xmlns:a16="http://schemas.microsoft.com/office/drawing/2014/main" id="{00000000-0008-0000-0100-00003D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8" name="AutoShape 186">
          <a:extLst>
            <a:ext uri="{FF2B5EF4-FFF2-40B4-BE49-F238E27FC236}">
              <a16:creationId xmlns:a16="http://schemas.microsoft.com/office/drawing/2014/main" id="{00000000-0008-0000-0100-00003E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39" name="AutoShape 187">
          <a:extLst>
            <a:ext uri="{FF2B5EF4-FFF2-40B4-BE49-F238E27FC236}">
              <a16:creationId xmlns:a16="http://schemas.microsoft.com/office/drawing/2014/main" id="{00000000-0008-0000-0100-00003F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0" name="AutoShape 80">
          <a:extLst>
            <a:ext uri="{FF2B5EF4-FFF2-40B4-BE49-F238E27FC236}">
              <a16:creationId xmlns:a16="http://schemas.microsoft.com/office/drawing/2014/main" id="{00000000-0008-0000-0100-000040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1" name="AutoShape 84">
          <a:extLst>
            <a:ext uri="{FF2B5EF4-FFF2-40B4-BE49-F238E27FC236}">
              <a16:creationId xmlns:a16="http://schemas.microsoft.com/office/drawing/2014/main" id="{00000000-0008-0000-0100-000041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2" name="AutoShape 157">
          <a:extLst>
            <a:ext uri="{FF2B5EF4-FFF2-40B4-BE49-F238E27FC236}">
              <a16:creationId xmlns:a16="http://schemas.microsoft.com/office/drawing/2014/main" id="{00000000-0008-0000-0100-000042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3" name="AutoShape 158">
          <a:extLst>
            <a:ext uri="{FF2B5EF4-FFF2-40B4-BE49-F238E27FC236}">
              <a16:creationId xmlns:a16="http://schemas.microsoft.com/office/drawing/2014/main" id="{00000000-0008-0000-0100-000043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4" name="AutoShape 124">
          <a:extLst>
            <a:ext uri="{FF2B5EF4-FFF2-40B4-BE49-F238E27FC236}">
              <a16:creationId xmlns:a16="http://schemas.microsoft.com/office/drawing/2014/main" id="{00000000-0008-0000-0100-000044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445" name="AutoShape 80">
          <a:extLst>
            <a:ext uri="{FF2B5EF4-FFF2-40B4-BE49-F238E27FC236}">
              <a16:creationId xmlns:a16="http://schemas.microsoft.com/office/drawing/2014/main" id="{00000000-0008-0000-0100-000045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6" name="AutoShape 84">
          <a:extLst>
            <a:ext uri="{FF2B5EF4-FFF2-40B4-BE49-F238E27FC236}">
              <a16:creationId xmlns:a16="http://schemas.microsoft.com/office/drawing/2014/main" id="{00000000-0008-0000-0100-000046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7" name="AutoShape 157">
          <a:extLst>
            <a:ext uri="{FF2B5EF4-FFF2-40B4-BE49-F238E27FC236}">
              <a16:creationId xmlns:a16="http://schemas.microsoft.com/office/drawing/2014/main" id="{00000000-0008-0000-0100-000047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8" name="AutoShape 158">
          <a:extLst>
            <a:ext uri="{FF2B5EF4-FFF2-40B4-BE49-F238E27FC236}">
              <a16:creationId xmlns:a16="http://schemas.microsoft.com/office/drawing/2014/main" id="{00000000-0008-0000-0100-000048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49" name="AutoShape 249">
          <a:extLst>
            <a:ext uri="{FF2B5EF4-FFF2-40B4-BE49-F238E27FC236}">
              <a16:creationId xmlns:a16="http://schemas.microsoft.com/office/drawing/2014/main" id="{00000000-0008-0000-0100-000049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0" name="AutoShape 184">
          <a:extLst>
            <a:ext uri="{FF2B5EF4-FFF2-40B4-BE49-F238E27FC236}">
              <a16:creationId xmlns:a16="http://schemas.microsoft.com/office/drawing/2014/main" id="{00000000-0008-0000-0100-00004A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1" name="AutoShape 185">
          <a:extLst>
            <a:ext uri="{FF2B5EF4-FFF2-40B4-BE49-F238E27FC236}">
              <a16:creationId xmlns:a16="http://schemas.microsoft.com/office/drawing/2014/main" id="{00000000-0008-0000-0100-00004B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2" name="AutoShape 186">
          <a:extLst>
            <a:ext uri="{FF2B5EF4-FFF2-40B4-BE49-F238E27FC236}">
              <a16:creationId xmlns:a16="http://schemas.microsoft.com/office/drawing/2014/main" id="{00000000-0008-0000-0100-00004C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3" name="AutoShape 187">
          <a:extLst>
            <a:ext uri="{FF2B5EF4-FFF2-40B4-BE49-F238E27FC236}">
              <a16:creationId xmlns:a16="http://schemas.microsoft.com/office/drawing/2014/main" id="{00000000-0008-0000-0100-00004D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4" name="AutoShape 80">
          <a:extLst>
            <a:ext uri="{FF2B5EF4-FFF2-40B4-BE49-F238E27FC236}">
              <a16:creationId xmlns:a16="http://schemas.microsoft.com/office/drawing/2014/main" id="{00000000-0008-0000-0100-00004E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5" name="AutoShape 84">
          <a:extLst>
            <a:ext uri="{FF2B5EF4-FFF2-40B4-BE49-F238E27FC236}">
              <a16:creationId xmlns:a16="http://schemas.microsoft.com/office/drawing/2014/main" id="{00000000-0008-0000-0100-00004F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6" name="AutoShape 157">
          <a:extLst>
            <a:ext uri="{FF2B5EF4-FFF2-40B4-BE49-F238E27FC236}">
              <a16:creationId xmlns:a16="http://schemas.microsoft.com/office/drawing/2014/main" id="{00000000-0008-0000-0100-000050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7" name="AutoShape 158">
          <a:extLst>
            <a:ext uri="{FF2B5EF4-FFF2-40B4-BE49-F238E27FC236}">
              <a16:creationId xmlns:a16="http://schemas.microsoft.com/office/drawing/2014/main" id="{00000000-0008-0000-0100-000051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58" name="AutoShape 124">
          <a:extLst>
            <a:ext uri="{FF2B5EF4-FFF2-40B4-BE49-F238E27FC236}">
              <a16:creationId xmlns:a16="http://schemas.microsoft.com/office/drawing/2014/main" id="{00000000-0008-0000-0100-000052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20</xdr:col>
      <xdr:colOff>0</xdr:colOff>
      <xdr:row>73</xdr:row>
      <xdr:rowOff>0</xdr:rowOff>
    </xdr:to>
    <xdr:sp macro="" textlink="">
      <xdr:nvSpPr>
        <xdr:cNvPr id="5459" name="AutoShape 80">
          <a:extLst>
            <a:ext uri="{FF2B5EF4-FFF2-40B4-BE49-F238E27FC236}">
              <a16:creationId xmlns:a16="http://schemas.microsoft.com/office/drawing/2014/main" id="{00000000-0008-0000-0100-000053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0" name="AutoShape 84">
          <a:extLst>
            <a:ext uri="{FF2B5EF4-FFF2-40B4-BE49-F238E27FC236}">
              <a16:creationId xmlns:a16="http://schemas.microsoft.com/office/drawing/2014/main" id="{00000000-0008-0000-0100-000054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1" name="AutoShape 157">
          <a:extLst>
            <a:ext uri="{FF2B5EF4-FFF2-40B4-BE49-F238E27FC236}">
              <a16:creationId xmlns:a16="http://schemas.microsoft.com/office/drawing/2014/main" id="{00000000-0008-0000-0100-000055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2" name="AutoShape 158">
          <a:extLst>
            <a:ext uri="{FF2B5EF4-FFF2-40B4-BE49-F238E27FC236}">
              <a16:creationId xmlns:a16="http://schemas.microsoft.com/office/drawing/2014/main" id="{00000000-0008-0000-0100-000056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3" name="AutoShape 249">
          <a:extLst>
            <a:ext uri="{FF2B5EF4-FFF2-40B4-BE49-F238E27FC236}">
              <a16:creationId xmlns:a16="http://schemas.microsoft.com/office/drawing/2014/main" id="{00000000-0008-0000-0100-000057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4" name="AutoShape 184">
          <a:extLst>
            <a:ext uri="{FF2B5EF4-FFF2-40B4-BE49-F238E27FC236}">
              <a16:creationId xmlns:a16="http://schemas.microsoft.com/office/drawing/2014/main" id="{00000000-0008-0000-0100-000058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5" name="AutoShape 185">
          <a:extLst>
            <a:ext uri="{FF2B5EF4-FFF2-40B4-BE49-F238E27FC236}">
              <a16:creationId xmlns:a16="http://schemas.microsoft.com/office/drawing/2014/main" id="{00000000-0008-0000-0100-000059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6" name="AutoShape 186">
          <a:extLst>
            <a:ext uri="{FF2B5EF4-FFF2-40B4-BE49-F238E27FC236}">
              <a16:creationId xmlns:a16="http://schemas.microsoft.com/office/drawing/2014/main" id="{00000000-0008-0000-0100-00005A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73</xdr:row>
      <xdr:rowOff>0</xdr:rowOff>
    </xdr:from>
    <xdr:to>
      <xdr:col>19</xdr:col>
      <xdr:colOff>495300</xdr:colOff>
      <xdr:row>73</xdr:row>
      <xdr:rowOff>0</xdr:rowOff>
    </xdr:to>
    <xdr:sp macro="" textlink="">
      <xdr:nvSpPr>
        <xdr:cNvPr id="5467" name="AutoShape 187">
          <a:extLst>
            <a:ext uri="{FF2B5EF4-FFF2-40B4-BE49-F238E27FC236}">
              <a16:creationId xmlns:a16="http://schemas.microsoft.com/office/drawing/2014/main" id="{00000000-0008-0000-0100-00005B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68" name="AutoShape 80">
          <a:extLst>
            <a:ext uri="{FF2B5EF4-FFF2-40B4-BE49-F238E27FC236}">
              <a16:creationId xmlns:a16="http://schemas.microsoft.com/office/drawing/2014/main" id="{00000000-0008-0000-0100-00005C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69" name="AutoShape 84">
          <a:extLst>
            <a:ext uri="{FF2B5EF4-FFF2-40B4-BE49-F238E27FC236}">
              <a16:creationId xmlns:a16="http://schemas.microsoft.com/office/drawing/2014/main" id="{00000000-0008-0000-0100-00005D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0" name="AutoShape 157">
          <a:extLst>
            <a:ext uri="{FF2B5EF4-FFF2-40B4-BE49-F238E27FC236}">
              <a16:creationId xmlns:a16="http://schemas.microsoft.com/office/drawing/2014/main" id="{00000000-0008-0000-0100-00005E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1" name="AutoShape 158">
          <a:extLst>
            <a:ext uri="{FF2B5EF4-FFF2-40B4-BE49-F238E27FC236}">
              <a16:creationId xmlns:a16="http://schemas.microsoft.com/office/drawing/2014/main" id="{00000000-0008-0000-0100-00005F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2" name="AutoShape 124">
          <a:extLst>
            <a:ext uri="{FF2B5EF4-FFF2-40B4-BE49-F238E27FC236}">
              <a16:creationId xmlns:a16="http://schemas.microsoft.com/office/drawing/2014/main" id="{00000000-0008-0000-0100-000060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473" name="AutoShape 80">
          <a:extLst>
            <a:ext uri="{FF2B5EF4-FFF2-40B4-BE49-F238E27FC236}">
              <a16:creationId xmlns:a16="http://schemas.microsoft.com/office/drawing/2014/main" id="{00000000-0008-0000-0100-000061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4" name="AutoShape 84">
          <a:extLst>
            <a:ext uri="{FF2B5EF4-FFF2-40B4-BE49-F238E27FC236}">
              <a16:creationId xmlns:a16="http://schemas.microsoft.com/office/drawing/2014/main" id="{00000000-0008-0000-0100-000062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5" name="AutoShape 157">
          <a:extLst>
            <a:ext uri="{FF2B5EF4-FFF2-40B4-BE49-F238E27FC236}">
              <a16:creationId xmlns:a16="http://schemas.microsoft.com/office/drawing/2014/main" id="{00000000-0008-0000-0100-000063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6" name="AutoShape 158">
          <a:extLst>
            <a:ext uri="{FF2B5EF4-FFF2-40B4-BE49-F238E27FC236}">
              <a16:creationId xmlns:a16="http://schemas.microsoft.com/office/drawing/2014/main" id="{00000000-0008-0000-0100-000064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7" name="AutoShape 249">
          <a:extLst>
            <a:ext uri="{FF2B5EF4-FFF2-40B4-BE49-F238E27FC236}">
              <a16:creationId xmlns:a16="http://schemas.microsoft.com/office/drawing/2014/main" id="{00000000-0008-0000-0100-000065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8" name="AutoShape 184">
          <a:extLst>
            <a:ext uri="{FF2B5EF4-FFF2-40B4-BE49-F238E27FC236}">
              <a16:creationId xmlns:a16="http://schemas.microsoft.com/office/drawing/2014/main" id="{00000000-0008-0000-0100-000066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79" name="AutoShape 185">
          <a:extLst>
            <a:ext uri="{FF2B5EF4-FFF2-40B4-BE49-F238E27FC236}">
              <a16:creationId xmlns:a16="http://schemas.microsoft.com/office/drawing/2014/main" id="{00000000-0008-0000-0100-000067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0" name="AutoShape 186">
          <a:extLst>
            <a:ext uri="{FF2B5EF4-FFF2-40B4-BE49-F238E27FC236}">
              <a16:creationId xmlns:a16="http://schemas.microsoft.com/office/drawing/2014/main" id="{00000000-0008-0000-0100-000068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1" name="AutoShape 187">
          <a:extLst>
            <a:ext uri="{FF2B5EF4-FFF2-40B4-BE49-F238E27FC236}">
              <a16:creationId xmlns:a16="http://schemas.microsoft.com/office/drawing/2014/main" id="{00000000-0008-0000-0100-000069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2" name="AutoShape 80">
          <a:extLst>
            <a:ext uri="{FF2B5EF4-FFF2-40B4-BE49-F238E27FC236}">
              <a16:creationId xmlns:a16="http://schemas.microsoft.com/office/drawing/2014/main" id="{00000000-0008-0000-0100-00006A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3" name="AutoShape 84">
          <a:extLst>
            <a:ext uri="{FF2B5EF4-FFF2-40B4-BE49-F238E27FC236}">
              <a16:creationId xmlns:a16="http://schemas.microsoft.com/office/drawing/2014/main" id="{00000000-0008-0000-0100-00006B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4" name="AutoShape 157">
          <a:extLst>
            <a:ext uri="{FF2B5EF4-FFF2-40B4-BE49-F238E27FC236}">
              <a16:creationId xmlns:a16="http://schemas.microsoft.com/office/drawing/2014/main" id="{00000000-0008-0000-0100-00006C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5" name="AutoShape 158">
          <a:extLst>
            <a:ext uri="{FF2B5EF4-FFF2-40B4-BE49-F238E27FC236}">
              <a16:creationId xmlns:a16="http://schemas.microsoft.com/office/drawing/2014/main" id="{00000000-0008-0000-0100-00006D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6" name="AutoShape 124">
          <a:extLst>
            <a:ext uri="{FF2B5EF4-FFF2-40B4-BE49-F238E27FC236}">
              <a16:creationId xmlns:a16="http://schemas.microsoft.com/office/drawing/2014/main" id="{00000000-0008-0000-0100-00006E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487" name="AutoShape 80">
          <a:extLst>
            <a:ext uri="{FF2B5EF4-FFF2-40B4-BE49-F238E27FC236}">
              <a16:creationId xmlns:a16="http://schemas.microsoft.com/office/drawing/2014/main" id="{00000000-0008-0000-0100-00006F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8" name="AutoShape 84">
          <a:extLst>
            <a:ext uri="{FF2B5EF4-FFF2-40B4-BE49-F238E27FC236}">
              <a16:creationId xmlns:a16="http://schemas.microsoft.com/office/drawing/2014/main" id="{00000000-0008-0000-0100-000070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89" name="AutoShape 157">
          <a:extLst>
            <a:ext uri="{FF2B5EF4-FFF2-40B4-BE49-F238E27FC236}">
              <a16:creationId xmlns:a16="http://schemas.microsoft.com/office/drawing/2014/main" id="{00000000-0008-0000-0100-000071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0" name="AutoShape 158">
          <a:extLst>
            <a:ext uri="{FF2B5EF4-FFF2-40B4-BE49-F238E27FC236}">
              <a16:creationId xmlns:a16="http://schemas.microsoft.com/office/drawing/2014/main" id="{00000000-0008-0000-0100-000072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1" name="AutoShape 249">
          <a:extLst>
            <a:ext uri="{FF2B5EF4-FFF2-40B4-BE49-F238E27FC236}">
              <a16:creationId xmlns:a16="http://schemas.microsoft.com/office/drawing/2014/main" id="{00000000-0008-0000-0100-000073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2" name="AutoShape 184">
          <a:extLst>
            <a:ext uri="{FF2B5EF4-FFF2-40B4-BE49-F238E27FC236}">
              <a16:creationId xmlns:a16="http://schemas.microsoft.com/office/drawing/2014/main" id="{00000000-0008-0000-0100-000074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3" name="AutoShape 185">
          <a:extLst>
            <a:ext uri="{FF2B5EF4-FFF2-40B4-BE49-F238E27FC236}">
              <a16:creationId xmlns:a16="http://schemas.microsoft.com/office/drawing/2014/main" id="{00000000-0008-0000-0100-000075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4" name="AutoShape 186">
          <a:extLst>
            <a:ext uri="{FF2B5EF4-FFF2-40B4-BE49-F238E27FC236}">
              <a16:creationId xmlns:a16="http://schemas.microsoft.com/office/drawing/2014/main" id="{00000000-0008-0000-0100-000076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5" name="AutoShape 187">
          <a:extLst>
            <a:ext uri="{FF2B5EF4-FFF2-40B4-BE49-F238E27FC236}">
              <a16:creationId xmlns:a16="http://schemas.microsoft.com/office/drawing/2014/main" id="{00000000-0008-0000-0100-000077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6" name="AutoShape 80">
          <a:extLst>
            <a:ext uri="{FF2B5EF4-FFF2-40B4-BE49-F238E27FC236}">
              <a16:creationId xmlns:a16="http://schemas.microsoft.com/office/drawing/2014/main" id="{00000000-0008-0000-0100-000078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7" name="AutoShape 84">
          <a:extLst>
            <a:ext uri="{FF2B5EF4-FFF2-40B4-BE49-F238E27FC236}">
              <a16:creationId xmlns:a16="http://schemas.microsoft.com/office/drawing/2014/main" id="{00000000-0008-0000-0100-000079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8" name="AutoShape 157">
          <a:extLst>
            <a:ext uri="{FF2B5EF4-FFF2-40B4-BE49-F238E27FC236}">
              <a16:creationId xmlns:a16="http://schemas.microsoft.com/office/drawing/2014/main" id="{00000000-0008-0000-0100-00007A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499" name="AutoShape 158">
          <a:extLst>
            <a:ext uri="{FF2B5EF4-FFF2-40B4-BE49-F238E27FC236}">
              <a16:creationId xmlns:a16="http://schemas.microsoft.com/office/drawing/2014/main" id="{00000000-0008-0000-0100-00007B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0" name="AutoShape 124">
          <a:extLst>
            <a:ext uri="{FF2B5EF4-FFF2-40B4-BE49-F238E27FC236}">
              <a16:creationId xmlns:a16="http://schemas.microsoft.com/office/drawing/2014/main" id="{00000000-0008-0000-0100-00007C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5501" name="AutoShape 80">
          <a:extLst>
            <a:ext uri="{FF2B5EF4-FFF2-40B4-BE49-F238E27FC236}">
              <a16:creationId xmlns:a16="http://schemas.microsoft.com/office/drawing/2014/main" id="{00000000-0008-0000-0100-00007D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2" name="AutoShape 84">
          <a:extLst>
            <a:ext uri="{FF2B5EF4-FFF2-40B4-BE49-F238E27FC236}">
              <a16:creationId xmlns:a16="http://schemas.microsoft.com/office/drawing/2014/main" id="{00000000-0008-0000-0100-00007E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3" name="AutoShape 157">
          <a:extLst>
            <a:ext uri="{FF2B5EF4-FFF2-40B4-BE49-F238E27FC236}">
              <a16:creationId xmlns:a16="http://schemas.microsoft.com/office/drawing/2014/main" id="{00000000-0008-0000-0100-00007F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4" name="AutoShape 158">
          <a:extLst>
            <a:ext uri="{FF2B5EF4-FFF2-40B4-BE49-F238E27FC236}">
              <a16:creationId xmlns:a16="http://schemas.microsoft.com/office/drawing/2014/main" id="{00000000-0008-0000-0100-000080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5" name="AutoShape 249">
          <a:extLst>
            <a:ext uri="{FF2B5EF4-FFF2-40B4-BE49-F238E27FC236}">
              <a16:creationId xmlns:a16="http://schemas.microsoft.com/office/drawing/2014/main" id="{00000000-0008-0000-0100-000081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6" name="AutoShape 184">
          <a:extLst>
            <a:ext uri="{FF2B5EF4-FFF2-40B4-BE49-F238E27FC236}">
              <a16:creationId xmlns:a16="http://schemas.microsoft.com/office/drawing/2014/main" id="{00000000-0008-0000-0100-000082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7" name="AutoShape 185">
          <a:extLst>
            <a:ext uri="{FF2B5EF4-FFF2-40B4-BE49-F238E27FC236}">
              <a16:creationId xmlns:a16="http://schemas.microsoft.com/office/drawing/2014/main" id="{00000000-0008-0000-0100-000083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8" name="AutoShape 186">
          <a:extLst>
            <a:ext uri="{FF2B5EF4-FFF2-40B4-BE49-F238E27FC236}">
              <a16:creationId xmlns:a16="http://schemas.microsoft.com/office/drawing/2014/main" id="{00000000-0008-0000-0100-000084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80</xdr:row>
      <xdr:rowOff>0</xdr:rowOff>
    </xdr:from>
    <xdr:to>
      <xdr:col>19</xdr:col>
      <xdr:colOff>495300</xdr:colOff>
      <xdr:row>80</xdr:row>
      <xdr:rowOff>0</xdr:rowOff>
    </xdr:to>
    <xdr:sp macro="" textlink="">
      <xdr:nvSpPr>
        <xdr:cNvPr id="5509" name="AutoShape 187">
          <a:extLst>
            <a:ext uri="{FF2B5EF4-FFF2-40B4-BE49-F238E27FC236}">
              <a16:creationId xmlns:a16="http://schemas.microsoft.com/office/drawing/2014/main" id="{00000000-0008-0000-0100-000085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0" name="AutoShape 80">
          <a:extLst>
            <a:ext uri="{FF2B5EF4-FFF2-40B4-BE49-F238E27FC236}">
              <a16:creationId xmlns:a16="http://schemas.microsoft.com/office/drawing/2014/main" id="{00000000-0008-0000-0100-000086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1" name="AutoShape 84">
          <a:extLst>
            <a:ext uri="{FF2B5EF4-FFF2-40B4-BE49-F238E27FC236}">
              <a16:creationId xmlns:a16="http://schemas.microsoft.com/office/drawing/2014/main" id="{00000000-0008-0000-0100-000087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2" name="AutoShape 157">
          <a:extLst>
            <a:ext uri="{FF2B5EF4-FFF2-40B4-BE49-F238E27FC236}">
              <a16:creationId xmlns:a16="http://schemas.microsoft.com/office/drawing/2014/main" id="{00000000-0008-0000-0100-000088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3" name="AutoShape 158">
          <a:extLst>
            <a:ext uri="{FF2B5EF4-FFF2-40B4-BE49-F238E27FC236}">
              <a16:creationId xmlns:a16="http://schemas.microsoft.com/office/drawing/2014/main" id="{00000000-0008-0000-0100-000089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4" name="AutoShape 124">
          <a:extLst>
            <a:ext uri="{FF2B5EF4-FFF2-40B4-BE49-F238E27FC236}">
              <a16:creationId xmlns:a16="http://schemas.microsoft.com/office/drawing/2014/main" id="{00000000-0008-0000-0100-00008A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515" name="AutoShape 80">
          <a:extLst>
            <a:ext uri="{FF2B5EF4-FFF2-40B4-BE49-F238E27FC236}">
              <a16:creationId xmlns:a16="http://schemas.microsoft.com/office/drawing/2014/main" id="{00000000-0008-0000-0100-00008B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6" name="AutoShape 84">
          <a:extLst>
            <a:ext uri="{FF2B5EF4-FFF2-40B4-BE49-F238E27FC236}">
              <a16:creationId xmlns:a16="http://schemas.microsoft.com/office/drawing/2014/main" id="{00000000-0008-0000-0100-00008C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7" name="AutoShape 157">
          <a:extLst>
            <a:ext uri="{FF2B5EF4-FFF2-40B4-BE49-F238E27FC236}">
              <a16:creationId xmlns:a16="http://schemas.microsoft.com/office/drawing/2014/main" id="{00000000-0008-0000-0100-00008D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8" name="AutoShape 158">
          <a:extLst>
            <a:ext uri="{FF2B5EF4-FFF2-40B4-BE49-F238E27FC236}">
              <a16:creationId xmlns:a16="http://schemas.microsoft.com/office/drawing/2014/main" id="{00000000-0008-0000-0100-00008E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19" name="AutoShape 249">
          <a:extLst>
            <a:ext uri="{FF2B5EF4-FFF2-40B4-BE49-F238E27FC236}">
              <a16:creationId xmlns:a16="http://schemas.microsoft.com/office/drawing/2014/main" id="{00000000-0008-0000-0100-00008F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0" name="AutoShape 184">
          <a:extLst>
            <a:ext uri="{FF2B5EF4-FFF2-40B4-BE49-F238E27FC236}">
              <a16:creationId xmlns:a16="http://schemas.microsoft.com/office/drawing/2014/main" id="{00000000-0008-0000-0100-000090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1" name="AutoShape 185">
          <a:extLst>
            <a:ext uri="{FF2B5EF4-FFF2-40B4-BE49-F238E27FC236}">
              <a16:creationId xmlns:a16="http://schemas.microsoft.com/office/drawing/2014/main" id="{00000000-0008-0000-0100-000091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2" name="AutoShape 186">
          <a:extLst>
            <a:ext uri="{FF2B5EF4-FFF2-40B4-BE49-F238E27FC236}">
              <a16:creationId xmlns:a16="http://schemas.microsoft.com/office/drawing/2014/main" id="{00000000-0008-0000-0100-000092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3" name="AutoShape 187">
          <a:extLst>
            <a:ext uri="{FF2B5EF4-FFF2-40B4-BE49-F238E27FC236}">
              <a16:creationId xmlns:a16="http://schemas.microsoft.com/office/drawing/2014/main" id="{00000000-0008-0000-0100-000093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4" name="AutoShape 80">
          <a:extLst>
            <a:ext uri="{FF2B5EF4-FFF2-40B4-BE49-F238E27FC236}">
              <a16:creationId xmlns:a16="http://schemas.microsoft.com/office/drawing/2014/main" id="{00000000-0008-0000-0100-000094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5" name="AutoShape 84">
          <a:extLst>
            <a:ext uri="{FF2B5EF4-FFF2-40B4-BE49-F238E27FC236}">
              <a16:creationId xmlns:a16="http://schemas.microsoft.com/office/drawing/2014/main" id="{00000000-0008-0000-0100-000095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6" name="AutoShape 157">
          <a:extLst>
            <a:ext uri="{FF2B5EF4-FFF2-40B4-BE49-F238E27FC236}">
              <a16:creationId xmlns:a16="http://schemas.microsoft.com/office/drawing/2014/main" id="{00000000-0008-0000-0100-000096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7" name="AutoShape 158">
          <a:extLst>
            <a:ext uri="{FF2B5EF4-FFF2-40B4-BE49-F238E27FC236}">
              <a16:creationId xmlns:a16="http://schemas.microsoft.com/office/drawing/2014/main" id="{00000000-0008-0000-0100-000097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28" name="AutoShape 124">
          <a:extLst>
            <a:ext uri="{FF2B5EF4-FFF2-40B4-BE49-F238E27FC236}">
              <a16:creationId xmlns:a16="http://schemas.microsoft.com/office/drawing/2014/main" id="{00000000-0008-0000-0100-000098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529" name="AutoShape 80">
          <a:extLst>
            <a:ext uri="{FF2B5EF4-FFF2-40B4-BE49-F238E27FC236}">
              <a16:creationId xmlns:a16="http://schemas.microsoft.com/office/drawing/2014/main" id="{00000000-0008-0000-0100-000099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0" name="AutoShape 84">
          <a:extLst>
            <a:ext uri="{FF2B5EF4-FFF2-40B4-BE49-F238E27FC236}">
              <a16:creationId xmlns:a16="http://schemas.microsoft.com/office/drawing/2014/main" id="{00000000-0008-0000-0100-00009A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1" name="AutoShape 157">
          <a:extLst>
            <a:ext uri="{FF2B5EF4-FFF2-40B4-BE49-F238E27FC236}">
              <a16:creationId xmlns:a16="http://schemas.microsoft.com/office/drawing/2014/main" id="{00000000-0008-0000-0100-00009B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2" name="AutoShape 158">
          <a:extLst>
            <a:ext uri="{FF2B5EF4-FFF2-40B4-BE49-F238E27FC236}">
              <a16:creationId xmlns:a16="http://schemas.microsoft.com/office/drawing/2014/main" id="{00000000-0008-0000-0100-00009C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3" name="AutoShape 249">
          <a:extLst>
            <a:ext uri="{FF2B5EF4-FFF2-40B4-BE49-F238E27FC236}">
              <a16:creationId xmlns:a16="http://schemas.microsoft.com/office/drawing/2014/main" id="{00000000-0008-0000-0100-00009D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4" name="AutoShape 184">
          <a:extLst>
            <a:ext uri="{FF2B5EF4-FFF2-40B4-BE49-F238E27FC236}">
              <a16:creationId xmlns:a16="http://schemas.microsoft.com/office/drawing/2014/main" id="{00000000-0008-0000-0100-00009E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5" name="AutoShape 185">
          <a:extLst>
            <a:ext uri="{FF2B5EF4-FFF2-40B4-BE49-F238E27FC236}">
              <a16:creationId xmlns:a16="http://schemas.microsoft.com/office/drawing/2014/main" id="{00000000-0008-0000-0100-00009F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6" name="AutoShape 186">
          <a:extLst>
            <a:ext uri="{FF2B5EF4-FFF2-40B4-BE49-F238E27FC236}">
              <a16:creationId xmlns:a16="http://schemas.microsoft.com/office/drawing/2014/main" id="{00000000-0008-0000-0100-0000A0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7" name="AutoShape 187">
          <a:extLst>
            <a:ext uri="{FF2B5EF4-FFF2-40B4-BE49-F238E27FC236}">
              <a16:creationId xmlns:a16="http://schemas.microsoft.com/office/drawing/2014/main" id="{00000000-0008-0000-0100-0000A1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8" name="AutoShape 80">
          <a:extLst>
            <a:ext uri="{FF2B5EF4-FFF2-40B4-BE49-F238E27FC236}">
              <a16:creationId xmlns:a16="http://schemas.microsoft.com/office/drawing/2014/main" id="{00000000-0008-0000-0100-0000A2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39" name="AutoShape 84">
          <a:extLst>
            <a:ext uri="{FF2B5EF4-FFF2-40B4-BE49-F238E27FC236}">
              <a16:creationId xmlns:a16="http://schemas.microsoft.com/office/drawing/2014/main" id="{00000000-0008-0000-0100-0000A3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0" name="AutoShape 157">
          <a:extLst>
            <a:ext uri="{FF2B5EF4-FFF2-40B4-BE49-F238E27FC236}">
              <a16:creationId xmlns:a16="http://schemas.microsoft.com/office/drawing/2014/main" id="{00000000-0008-0000-0100-0000A4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1" name="AutoShape 158">
          <a:extLst>
            <a:ext uri="{FF2B5EF4-FFF2-40B4-BE49-F238E27FC236}">
              <a16:creationId xmlns:a16="http://schemas.microsoft.com/office/drawing/2014/main" id="{00000000-0008-0000-0100-0000A5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2" name="AutoShape 124">
          <a:extLst>
            <a:ext uri="{FF2B5EF4-FFF2-40B4-BE49-F238E27FC236}">
              <a16:creationId xmlns:a16="http://schemas.microsoft.com/office/drawing/2014/main" id="{00000000-0008-0000-0100-0000A6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5543" name="AutoShape 80">
          <a:extLst>
            <a:ext uri="{FF2B5EF4-FFF2-40B4-BE49-F238E27FC236}">
              <a16:creationId xmlns:a16="http://schemas.microsoft.com/office/drawing/2014/main" id="{00000000-0008-0000-0100-0000A7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4" name="AutoShape 84">
          <a:extLst>
            <a:ext uri="{FF2B5EF4-FFF2-40B4-BE49-F238E27FC236}">
              <a16:creationId xmlns:a16="http://schemas.microsoft.com/office/drawing/2014/main" id="{00000000-0008-0000-0100-0000A8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5" name="AutoShape 157">
          <a:extLst>
            <a:ext uri="{FF2B5EF4-FFF2-40B4-BE49-F238E27FC236}">
              <a16:creationId xmlns:a16="http://schemas.microsoft.com/office/drawing/2014/main" id="{00000000-0008-0000-0100-0000A9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6" name="AutoShape 158">
          <a:extLst>
            <a:ext uri="{FF2B5EF4-FFF2-40B4-BE49-F238E27FC236}">
              <a16:creationId xmlns:a16="http://schemas.microsoft.com/office/drawing/2014/main" id="{00000000-0008-0000-0100-0000AA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7" name="AutoShape 249">
          <a:extLst>
            <a:ext uri="{FF2B5EF4-FFF2-40B4-BE49-F238E27FC236}">
              <a16:creationId xmlns:a16="http://schemas.microsoft.com/office/drawing/2014/main" id="{00000000-0008-0000-0100-0000AB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8" name="AutoShape 184">
          <a:extLst>
            <a:ext uri="{FF2B5EF4-FFF2-40B4-BE49-F238E27FC236}">
              <a16:creationId xmlns:a16="http://schemas.microsoft.com/office/drawing/2014/main" id="{00000000-0008-0000-0100-0000AC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49" name="AutoShape 185">
          <a:extLst>
            <a:ext uri="{FF2B5EF4-FFF2-40B4-BE49-F238E27FC236}">
              <a16:creationId xmlns:a16="http://schemas.microsoft.com/office/drawing/2014/main" id="{00000000-0008-0000-0100-0000AD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50" name="AutoShape 186">
          <a:extLst>
            <a:ext uri="{FF2B5EF4-FFF2-40B4-BE49-F238E27FC236}">
              <a16:creationId xmlns:a16="http://schemas.microsoft.com/office/drawing/2014/main" id="{00000000-0008-0000-0100-0000AE15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88</xdr:row>
      <xdr:rowOff>0</xdr:rowOff>
    </xdr:from>
    <xdr:to>
      <xdr:col>19</xdr:col>
      <xdr:colOff>495300</xdr:colOff>
      <xdr:row>88</xdr:row>
      <xdr:rowOff>0</xdr:rowOff>
    </xdr:to>
    <xdr:sp macro="" textlink="">
      <xdr:nvSpPr>
        <xdr:cNvPr id="5551" name="AutoShape 187">
          <a:extLst>
            <a:ext uri="{FF2B5EF4-FFF2-40B4-BE49-F238E27FC236}">
              <a16:creationId xmlns:a16="http://schemas.microsoft.com/office/drawing/2014/main" id="{00000000-0008-0000-0100-0000AF15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2" name="AutoShape 80">
          <a:extLst>
            <a:ext uri="{FF2B5EF4-FFF2-40B4-BE49-F238E27FC236}">
              <a16:creationId xmlns:a16="http://schemas.microsoft.com/office/drawing/2014/main" id="{00000000-0008-0000-0100-0000B0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3" name="AutoShape 84">
          <a:extLst>
            <a:ext uri="{FF2B5EF4-FFF2-40B4-BE49-F238E27FC236}">
              <a16:creationId xmlns:a16="http://schemas.microsoft.com/office/drawing/2014/main" id="{00000000-0008-0000-0100-0000B1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4" name="AutoShape 157">
          <a:extLst>
            <a:ext uri="{FF2B5EF4-FFF2-40B4-BE49-F238E27FC236}">
              <a16:creationId xmlns:a16="http://schemas.microsoft.com/office/drawing/2014/main" id="{00000000-0008-0000-0100-0000B2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5" name="AutoShape 158">
          <a:extLst>
            <a:ext uri="{FF2B5EF4-FFF2-40B4-BE49-F238E27FC236}">
              <a16:creationId xmlns:a16="http://schemas.microsoft.com/office/drawing/2014/main" id="{00000000-0008-0000-0100-0000B3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6" name="AutoShape 124">
          <a:extLst>
            <a:ext uri="{FF2B5EF4-FFF2-40B4-BE49-F238E27FC236}">
              <a16:creationId xmlns:a16="http://schemas.microsoft.com/office/drawing/2014/main" id="{00000000-0008-0000-0100-0000B4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557" name="AutoShape 80">
          <a:extLst>
            <a:ext uri="{FF2B5EF4-FFF2-40B4-BE49-F238E27FC236}">
              <a16:creationId xmlns:a16="http://schemas.microsoft.com/office/drawing/2014/main" id="{00000000-0008-0000-0100-0000B5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8" name="AutoShape 84">
          <a:extLst>
            <a:ext uri="{FF2B5EF4-FFF2-40B4-BE49-F238E27FC236}">
              <a16:creationId xmlns:a16="http://schemas.microsoft.com/office/drawing/2014/main" id="{00000000-0008-0000-0100-0000B6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59" name="AutoShape 157">
          <a:extLst>
            <a:ext uri="{FF2B5EF4-FFF2-40B4-BE49-F238E27FC236}">
              <a16:creationId xmlns:a16="http://schemas.microsoft.com/office/drawing/2014/main" id="{00000000-0008-0000-0100-0000B7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0" name="AutoShape 158">
          <a:extLst>
            <a:ext uri="{FF2B5EF4-FFF2-40B4-BE49-F238E27FC236}">
              <a16:creationId xmlns:a16="http://schemas.microsoft.com/office/drawing/2014/main" id="{00000000-0008-0000-0100-0000B8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1" name="AutoShape 249">
          <a:extLst>
            <a:ext uri="{FF2B5EF4-FFF2-40B4-BE49-F238E27FC236}">
              <a16:creationId xmlns:a16="http://schemas.microsoft.com/office/drawing/2014/main" id="{00000000-0008-0000-0100-0000B9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2" name="AutoShape 184">
          <a:extLst>
            <a:ext uri="{FF2B5EF4-FFF2-40B4-BE49-F238E27FC236}">
              <a16:creationId xmlns:a16="http://schemas.microsoft.com/office/drawing/2014/main" id="{00000000-0008-0000-0100-0000BA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3" name="AutoShape 185">
          <a:extLst>
            <a:ext uri="{FF2B5EF4-FFF2-40B4-BE49-F238E27FC236}">
              <a16:creationId xmlns:a16="http://schemas.microsoft.com/office/drawing/2014/main" id="{00000000-0008-0000-0100-0000BB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4" name="AutoShape 186">
          <a:extLst>
            <a:ext uri="{FF2B5EF4-FFF2-40B4-BE49-F238E27FC236}">
              <a16:creationId xmlns:a16="http://schemas.microsoft.com/office/drawing/2014/main" id="{00000000-0008-0000-0100-0000BC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5" name="AutoShape 187">
          <a:extLst>
            <a:ext uri="{FF2B5EF4-FFF2-40B4-BE49-F238E27FC236}">
              <a16:creationId xmlns:a16="http://schemas.microsoft.com/office/drawing/2014/main" id="{00000000-0008-0000-0100-0000BD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6" name="AutoShape 80">
          <a:extLst>
            <a:ext uri="{FF2B5EF4-FFF2-40B4-BE49-F238E27FC236}">
              <a16:creationId xmlns:a16="http://schemas.microsoft.com/office/drawing/2014/main" id="{00000000-0008-0000-0100-0000BE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7" name="AutoShape 84">
          <a:extLst>
            <a:ext uri="{FF2B5EF4-FFF2-40B4-BE49-F238E27FC236}">
              <a16:creationId xmlns:a16="http://schemas.microsoft.com/office/drawing/2014/main" id="{00000000-0008-0000-0100-0000BF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8" name="AutoShape 157">
          <a:extLst>
            <a:ext uri="{FF2B5EF4-FFF2-40B4-BE49-F238E27FC236}">
              <a16:creationId xmlns:a16="http://schemas.microsoft.com/office/drawing/2014/main" id="{00000000-0008-0000-0100-0000C0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69" name="AutoShape 158">
          <a:extLst>
            <a:ext uri="{FF2B5EF4-FFF2-40B4-BE49-F238E27FC236}">
              <a16:creationId xmlns:a16="http://schemas.microsoft.com/office/drawing/2014/main" id="{00000000-0008-0000-0100-0000C1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0" name="AutoShape 124">
          <a:extLst>
            <a:ext uri="{FF2B5EF4-FFF2-40B4-BE49-F238E27FC236}">
              <a16:creationId xmlns:a16="http://schemas.microsoft.com/office/drawing/2014/main" id="{00000000-0008-0000-0100-0000C2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571" name="AutoShape 80">
          <a:extLst>
            <a:ext uri="{FF2B5EF4-FFF2-40B4-BE49-F238E27FC236}">
              <a16:creationId xmlns:a16="http://schemas.microsoft.com/office/drawing/2014/main" id="{00000000-0008-0000-0100-0000C3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2" name="AutoShape 84">
          <a:extLst>
            <a:ext uri="{FF2B5EF4-FFF2-40B4-BE49-F238E27FC236}">
              <a16:creationId xmlns:a16="http://schemas.microsoft.com/office/drawing/2014/main" id="{00000000-0008-0000-0100-0000C4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3" name="AutoShape 157">
          <a:extLst>
            <a:ext uri="{FF2B5EF4-FFF2-40B4-BE49-F238E27FC236}">
              <a16:creationId xmlns:a16="http://schemas.microsoft.com/office/drawing/2014/main" id="{00000000-0008-0000-0100-0000C5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4" name="AutoShape 158">
          <a:extLst>
            <a:ext uri="{FF2B5EF4-FFF2-40B4-BE49-F238E27FC236}">
              <a16:creationId xmlns:a16="http://schemas.microsoft.com/office/drawing/2014/main" id="{00000000-0008-0000-0100-0000C6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5" name="AutoShape 249">
          <a:extLst>
            <a:ext uri="{FF2B5EF4-FFF2-40B4-BE49-F238E27FC236}">
              <a16:creationId xmlns:a16="http://schemas.microsoft.com/office/drawing/2014/main" id="{00000000-0008-0000-0100-0000C7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6" name="AutoShape 184">
          <a:extLst>
            <a:ext uri="{FF2B5EF4-FFF2-40B4-BE49-F238E27FC236}">
              <a16:creationId xmlns:a16="http://schemas.microsoft.com/office/drawing/2014/main" id="{00000000-0008-0000-0100-0000C8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7" name="AutoShape 185">
          <a:extLst>
            <a:ext uri="{FF2B5EF4-FFF2-40B4-BE49-F238E27FC236}">
              <a16:creationId xmlns:a16="http://schemas.microsoft.com/office/drawing/2014/main" id="{00000000-0008-0000-0100-0000C9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8" name="AutoShape 186">
          <a:extLst>
            <a:ext uri="{FF2B5EF4-FFF2-40B4-BE49-F238E27FC236}">
              <a16:creationId xmlns:a16="http://schemas.microsoft.com/office/drawing/2014/main" id="{00000000-0008-0000-0100-0000CA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79" name="AutoShape 187">
          <a:extLst>
            <a:ext uri="{FF2B5EF4-FFF2-40B4-BE49-F238E27FC236}">
              <a16:creationId xmlns:a16="http://schemas.microsoft.com/office/drawing/2014/main" id="{00000000-0008-0000-0100-0000CB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0" name="AutoShape 80">
          <a:extLst>
            <a:ext uri="{FF2B5EF4-FFF2-40B4-BE49-F238E27FC236}">
              <a16:creationId xmlns:a16="http://schemas.microsoft.com/office/drawing/2014/main" id="{00000000-0008-0000-0100-0000CC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1" name="AutoShape 84">
          <a:extLst>
            <a:ext uri="{FF2B5EF4-FFF2-40B4-BE49-F238E27FC236}">
              <a16:creationId xmlns:a16="http://schemas.microsoft.com/office/drawing/2014/main" id="{00000000-0008-0000-0100-0000CD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2" name="AutoShape 157">
          <a:extLst>
            <a:ext uri="{FF2B5EF4-FFF2-40B4-BE49-F238E27FC236}">
              <a16:creationId xmlns:a16="http://schemas.microsoft.com/office/drawing/2014/main" id="{00000000-0008-0000-0100-0000CE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3" name="AutoShape 158">
          <a:extLst>
            <a:ext uri="{FF2B5EF4-FFF2-40B4-BE49-F238E27FC236}">
              <a16:creationId xmlns:a16="http://schemas.microsoft.com/office/drawing/2014/main" id="{00000000-0008-0000-0100-0000CF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4" name="AutoShape 124">
          <a:extLst>
            <a:ext uri="{FF2B5EF4-FFF2-40B4-BE49-F238E27FC236}">
              <a16:creationId xmlns:a16="http://schemas.microsoft.com/office/drawing/2014/main" id="{00000000-0008-0000-0100-0000D0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5585" name="AutoShape 80">
          <a:extLst>
            <a:ext uri="{FF2B5EF4-FFF2-40B4-BE49-F238E27FC236}">
              <a16:creationId xmlns:a16="http://schemas.microsoft.com/office/drawing/2014/main" id="{00000000-0008-0000-0100-0000D1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6" name="AutoShape 84">
          <a:extLst>
            <a:ext uri="{FF2B5EF4-FFF2-40B4-BE49-F238E27FC236}">
              <a16:creationId xmlns:a16="http://schemas.microsoft.com/office/drawing/2014/main" id="{00000000-0008-0000-0100-0000D2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7" name="AutoShape 157">
          <a:extLst>
            <a:ext uri="{FF2B5EF4-FFF2-40B4-BE49-F238E27FC236}">
              <a16:creationId xmlns:a16="http://schemas.microsoft.com/office/drawing/2014/main" id="{00000000-0008-0000-0100-0000D3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8" name="AutoShape 158">
          <a:extLst>
            <a:ext uri="{FF2B5EF4-FFF2-40B4-BE49-F238E27FC236}">
              <a16:creationId xmlns:a16="http://schemas.microsoft.com/office/drawing/2014/main" id="{00000000-0008-0000-0100-0000D4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89" name="AutoShape 249">
          <a:extLst>
            <a:ext uri="{FF2B5EF4-FFF2-40B4-BE49-F238E27FC236}">
              <a16:creationId xmlns:a16="http://schemas.microsoft.com/office/drawing/2014/main" id="{00000000-0008-0000-0100-0000D5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90" name="AutoShape 184">
          <a:extLst>
            <a:ext uri="{FF2B5EF4-FFF2-40B4-BE49-F238E27FC236}">
              <a16:creationId xmlns:a16="http://schemas.microsoft.com/office/drawing/2014/main" id="{00000000-0008-0000-0100-0000D6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91" name="AutoShape 185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92" name="AutoShape 186">
          <a:extLst>
            <a:ext uri="{FF2B5EF4-FFF2-40B4-BE49-F238E27FC236}">
              <a16:creationId xmlns:a16="http://schemas.microsoft.com/office/drawing/2014/main" id="{00000000-0008-0000-0100-0000D815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93" name="AutoShape 187">
          <a:extLst>
            <a:ext uri="{FF2B5EF4-FFF2-40B4-BE49-F238E27FC236}">
              <a16:creationId xmlns:a16="http://schemas.microsoft.com/office/drawing/2014/main" id="{00000000-0008-0000-0100-0000D915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594" name="AutoShape 80">
          <a:extLst>
            <a:ext uri="{FF2B5EF4-FFF2-40B4-BE49-F238E27FC236}">
              <a16:creationId xmlns:a16="http://schemas.microsoft.com/office/drawing/2014/main" id="{00000000-0008-0000-0100-0000DA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595" name="AutoShape 84">
          <a:extLst>
            <a:ext uri="{FF2B5EF4-FFF2-40B4-BE49-F238E27FC236}">
              <a16:creationId xmlns:a16="http://schemas.microsoft.com/office/drawing/2014/main" id="{00000000-0008-0000-0100-0000DB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596" name="AutoShape 157">
          <a:extLst>
            <a:ext uri="{FF2B5EF4-FFF2-40B4-BE49-F238E27FC236}">
              <a16:creationId xmlns:a16="http://schemas.microsoft.com/office/drawing/2014/main" id="{00000000-0008-0000-0100-0000DC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597" name="AutoShape 158">
          <a:extLst>
            <a:ext uri="{FF2B5EF4-FFF2-40B4-BE49-F238E27FC236}">
              <a16:creationId xmlns:a16="http://schemas.microsoft.com/office/drawing/2014/main" id="{00000000-0008-0000-0100-0000DD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598" name="AutoShape 124">
          <a:extLst>
            <a:ext uri="{FF2B5EF4-FFF2-40B4-BE49-F238E27FC236}">
              <a16:creationId xmlns:a16="http://schemas.microsoft.com/office/drawing/2014/main" id="{00000000-0008-0000-0100-0000DE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5599" name="AutoShape 80">
          <a:extLst>
            <a:ext uri="{FF2B5EF4-FFF2-40B4-BE49-F238E27FC236}">
              <a16:creationId xmlns:a16="http://schemas.microsoft.com/office/drawing/2014/main" id="{00000000-0008-0000-0100-0000DF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0" name="AutoShape 84">
          <a:extLst>
            <a:ext uri="{FF2B5EF4-FFF2-40B4-BE49-F238E27FC236}">
              <a16:creationId xmlns:a16="http://schemas.microsoft.com/office/drawing/2014/main" id="{00000000-0008-0000-0100-0000E0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1" name="AutoShape 157">
          <a:extLst>
            <a:ext uri="{FF2B5EF4-FFF2-40B4-BE49-F238E27FC236}">
              <a16:creationId xmlns:a16="http://schemas.microsoft.com/office/drawing/2014/main" id="{00000000-0008-0000-0100-0000E1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2" name="AutoShape 158">
          <a:extLst>
            <a:ext uri="{FF2B5EF4-FFF2-40B4-BE49-F238E27FC236}">
              <a16:creationId xmlns:a16="http://schemas.microsoft.com/office/drawing/2014/main" id="{00000000-0008-0000-0100-0000E2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3" name="AutoShape 249">
          <a:extLst>
            <a:ext uri="{FF2B5EF4-FFF2-40B4-BE49-F238E27FC236}">
              <a16:creationId xmlns:a16="http://schemas.microsoft.com/office/drawing/2014/main" id="{00000000-0008-0000-0100-0000E3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4" name="AutoShape 184">
          <a:extLst>
            <a:ext uri="{FF2B5EF4-FFF2-40B4-BE49-F238E27FC236}">
              <a16:creationId xmlns:a16="http://schemas.microsoft.com/office/drawing/2014/main" id="{00000000-0008-0000-0100-0000E4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5" name="AutoShape 185">
          <a:extLst>
            <a:ext uri="{FF2B5EF4-FFF2-40B4-BE49-F238E27FC236}">
              <a16:creationId xmlns:a16="http://schemas.microsoft.com/office/drawing/2014/main" id="{00000000-0008-0000-0100-0000E5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6" name="AutoShape 186">
          <a:extLst>
            <a:ext uri="{FF2B5EF4-FFF2-40B4-BE49-F238E27FC236}">
              <a16:creationId xmlns:a16="http://schemas.microsoft.com/office/drawing/2014/main" id="{00000000-0008-0000-0100-0000E615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07" name="AutoShape 187">
          <a:extLst>
            <a:ext uri="{FF2B5EF4-FFF2-40B4-BE49-F238E27FC236}">
              <a16:creationId xmlns:a16="http://schemas.microsoft.com/office/drawing/2014/main" id="{00000000-0008-0000-0100-0000E715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08" name="AutoShape 80">
          <a:extLst>
            <a:ext uri="{FF2B5EF4-FFF2-40B4-BE49-F238E27FC236}">
              <a16:creationId xmlns:a16="http://schemas.microsoft.com/office/drawing/2014/main" id="{00000000-0008-0000-0100-0000E8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09" name="AutoShape 84">
          <a:extLst>
            <a:ext uri="{FF2B5EF4-FFF2-40B4-BE49-F238E27FC236}">
              <a16:creationId xmlns:a16="http://schemas.microsoft.com/office/drawing/2014/main" id="{00000000-0008-0000-0100-0000E9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0" name="AutoShape 157">
          <a:extLst>
            <a:ext uri="{FF2B5EF4-FFF2-40B4-BE49-F238E27FC236}">
              <a16:creationId xmlns:a16="http://schemas.microsoft.com/office/drawing/2014/main" id="{00000000-0008-0000-0100-0000EA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1" name="AutoShape 158">
          <a:extLst>
            <a:ext uri="{FF2B5EF4-FFF2-40B4-BE49-F238E27FC236}">
              <a16:creationId xmlns:a16="http://schemas.microsoft.com/office/drawing/2014/main" id="{00000000-0008-0000-0100-0000EB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2" name="AutoShape 124">
          <a:extLst>
            <a:ext uri="{FF2B5EF4-FFF2-40B4-BE49-F238E27FC236}">
              <a16:creationId xmlns:a16="http://schemas.microsoft.com/office/drawing/2014/main" id="{00000000-0008-0000-0100-0000EC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613" name="AutoShape 80">
          <a:extLst>
            <a:ext uri="{FF2B5EF4-FFF2-40B4-BE49-F238E27FC236}">
              <a16:creationId xmlns:a16="http://schemas.microsoft.com/office/drawing/2014/main" id="{00000000-0008-0000-0100-0000ED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4" name="AutoShape 84">
          <a:extLst>
            <a:ext uri="{FF2B5EF4-FFF2-40B4-BE49-F238E27FC236}">
              <a16:creationId xmlns:a16="http://schemas.microsoft.com/office/drawing/2014/main" id="{00000000-0008-0000-0100-0000EE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5" name="AutoShape 157">
          <a:extLst>
            <a:ext uri="{FF2B5EF4-FFF2-40B4-BE49-F238E27FC236}">
              <a16:creationId xmlns:a16="http://schemas.microsoft.com/office/drawing/2014/main" id="{00000000-0008-0000-0100-0000EF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6" name="AutoShape 158">
          <a:extLst>
            <a:ext uri="{FF2B5EF4-FFF2-40B4-BE49-F238E27FC236}">
              <a16:creationId xmlns:a16="http://schemas.microsoft.com/office/drawing/2014/main" id="{00000000-0008-0000-0100-0000F0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7" name="AutoShape 249">
          <a:extLst>
            <a:ext uri="{FF2B5EF4-FFF2-40B4-BE49-F238E27FC236}">
              <a16:creationId xmlns:a16="http://schemas.microsoft.com/office/drawing/2014/main" id="{00000000-0008-0000-0100-0000F1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8" name="AutoShape 184">
          <a:extLst>
            <a:ext uri="{FF2B5EF4-FFF2-40B4-BE49-F238E27FC236}">
              <a16:creationId xmlns:a16="http://schemas.microsoft.com/office/drawing/2014/main" id="{00000000-0008-0000-0100-0000F2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19" name="AutoShape 185">
          <a:extLst>
            <a:ext uri="{FF2B5EF4-FFF2-40B4-BE49-F238E27FC236}">
              <a16:creationId xmlns:a16="http://schemas.microsoft.com/office/drawing/2014/main" id="{00000000-0008-0000-0100-0000F3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20" name="AutoShape 186">
          <a:extLst>
            <a:ext uri="{FF2B5EF4-FFF2-40B4-BE49-F238E27FC236}">
              <a16:creationId xmlns:a16="http://schemas.microsoft.com/office/drawing/2014/main" id="{00000000-0008-0000-0100-0000F415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21" name="AutoShape 187">
          <a:extLst>
            <a:ext uri="{FF2B5EF4-FFF2-40B4-BE49-F238E27FC236}">
              <a16:creationId xmlns:a16="http://schemas.microsoft.com/office/drawing/2014/main" id="{00000000-0008-0000-0100-0000F515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2" name="AutoShape 80">
          <a:extLst>
            <a:ext uri="{FF2B5EF4-FFF2-40B4-BE49-F238E27FC236}">
              <a16:creationId xmlns:a16="http://schemas.microsoft.com/office/drawing/2014/main" id="{00000000-0008-0000-0100-0000F6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3" name="AutoShape 84">
          <a:extLst>
            <a:ext uri="{FF2B5EF4-FFF2-40B4-BE49-F238E27FC236}">
              <a16:creationId xmlns:a16="http://schemas.microsoft.com/office/drawing/2014/main" id="{00000000-0008-0000-0100-0000F7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4" name="AutoShape 157">
          <a:extLst>
            <a:ext uri="{FF2B5EF4-FFF2-40B4-BE49-F238E27FC236}">
              <a16:creationId xmlns:a16="http://schemas.microsoft.com/office/drawing/2014/main" id="{00000000-0008-0000-0100-0000F8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5" name="AutoShape 158">
          <a:extLst>
            <a:ext uri="{FF2B5EF4-FFF2-40B4-BE49-F238E27FC236}">
              <a16:creationId xmlns:a16="http://schemas.microsoft.com/office/drawing/2014/main" id="{00000000-0008-0000-0100-0000F9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6" name="AutoShape 124">
          <a:extLst>
            <a:ext uri="{FF2B5EF4-FFF2-40B4-BE49-F238E27FC236}">
              <a16:creationId xmlns:a16="http://schemas.microsoft.com/office/drawing/2014/main" id="{00000000-0008-0000-0100-0000FA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627" name="AutoShape 80">
          <a:extLst>
            <a:ext uri="{FF2B5EF4-FFF2-40B4-BE49-F238E27FC236}">
              <a16:creationId xmlns:a16="http://schemas.microsoft.com/office/drawing/2014/main" id="{00000000-0008-0000-0100-0000FB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8" name="AutoShape 84">
          <a:extLst>
            <a:ext uri="{FF2B5EF4-FFF2-40B4-BE49-F238E27FC236}">
              <a16:creationId xmlns:a16="http://schemas.microsoft.com/office/drawing/2014/main" id="{00000000-0008-0000-0100-0000FC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29" name="AutoShape 157">
          <a:extLst>
            <a:ext uri="{FF2B5EF4-FFF2-40B4-BE49-F238E27FC236}">
              <a16:creationId xmlns:a16="http://schemas.microsoft.com/office/drawing/2014/main" id="{00000000-0008-0000-0100-0000FD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0" name="AutoShape 158">
          <a:extLst>
            <a:ext uri="{FF2B5EF4-FFF2-40B4-BE49-F238E27FC236}">
              <a16:creationId xmlns:a16="http://schemas.microsoft.com/office/drawing/2014/main" id="{00000000-0008-0000-0100-0000FE15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1" name="AutoShape 249">
          <a:extLst>
            <a:ext uri="{FF2B5EF4-FFF2-40B4-BE49-F238E27FC236}">
              <a16:creationId xmlns:a16="http://schemas.microsoft.com/office/drawing/2014/main" id="{00000000-0008-0000-0100-0000FF15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2" name="AutoShape 184">
          <a:extLst>
            <a:ext uri="{FF2B5EF4-FFF2-40B4-BE49-F238E27FC236}">
              <a16:creationId xmlns:a16="http://schemas.microsoft.com/office/drawing/2014/main" id="{00000000-0008-0000-0100-000000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3" name="AutoShape 185">
          <a:extLst>
            <a:ext uri="{FF2B5EF4-FFF2-40B4-BE49-F238E27FC236}">
              <a16:creationId xmlns:a16="http://schemas.microsoft.com/office/drawing/2014/main" id="{00000000-0008-0000-0100-000001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4" name="AutoShape 186">
          <a:extLst>
            <a:ext uri="{FF2B5EF4-FFF2-40B4-BE49-F238E27FC236}">
              <a16:creationId xmlns:a16="http://schemas.microsoft.com/office/drawing/2014/main" id="{00000000-0008-0000-0100-000002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35" name="AutoShape 187">
          <a:extLst>
            <a:ext uri="{FF2B5EF4-FFF2-40B4-BE49-F238E27FC236}">
              <a16:creationId xmlns:a16="http://schemas.microsoft.com/office/drawing/2014/main" id="{00000000-0008-0000-0100-000003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36" name="AutoShape 80">
          <a:extLst>
            <a:ext uri="{FF2B5EF4-FFF2-40B4-BE49-F238E27FC236}">
              <a16:creationId xmlns:a16="http://schemas.microsoft.com/office/drawing/2014/main" id="{00000000-0008-0000-0100-000004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37" name="AutoShape 84">
          <a:extLst>
            <a:ext uri="{FF2B5EF4-FFF2-40B4-BE49-F238E27FC236}">
              <a16:creationId xmlns:a16="http://schemas.microsoft.com/office/drawing/2014/main" id="{00000000-0008-0000-0100-000005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38" name="AutoShape 157">
          <a:extLst>
            <a:ext uri="{FF2B5EF4-FFF2-40B4-BE49-F238E27FC236}">
              <a16:creationId xmlns:a16="http://schemas.microsoft.com/office/drawing/2014/main" id="{00000000-0008-0000-0100-000006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39" name="AutoShape 158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0" name="AutoShape 124">
          <a:extLst>
            <a:ext uri="{FF2B5EF4-FFF2-40B4-BE49-F238E27FC236}">
              <a16:creationId xmlns:a16="http://schemas.microsoft.com/office/drawing/2014/main" id="{00000000-0008-0000-0100-000008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641" name="AutoShape 80">
          <a:extLst>
            <a:ext uri="{FF2B5EF4-FFF2-40B4-BE49-F238E27FC236}">
              <a16:creationId xmlns:a16="http://schemas.microsoft.com/office/drawing/2014/main" id="{00000000-0008-0000-0100-000009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2" name="AutoShape 84">
          <a:extLst>
            <a:ext uri="{FF2B5EF4-FFF2-40B4-BE49-F238E27FC236}">
              <a16:creationId xmlns:a16="http://schemas.microsoft.com/office/drawing/2014/main" id="{00000000-0008-0000-0100-00000A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3" name="AutoShape 157">
          <a:extLst>
            <a:ext uri="{FF2B5EF4-FFF2-40B4-BE49-F238E27FC236}">
              <a16:creationId xmlns:a16="http://schemas.microsoft.com/office/drawing/2014/main" id="{00000000-0008-0000-0100-00000B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4" name="AutoShape 158">
          <a:extLst>
            <a:ext uri="{FF2B5EF4-FFF2-40B4-BE49-F238E27FC236}">
              <a16:creationId xmlns:a16="http://schemas.microsoft.com/office/drawing/2014/main" id="{00000000-0008-0000-0100-00000C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5" name="AutoShape 249">
          <a:extLst>
            <a:ext uri="{FF2B5EF4-FFF2-40B4-BE49-F238E27FC236}">
              <a16:creationId xmlns:a16="http://schemas.microsoft.com/office/drawing/2014/main" id="{00000000-0008-0000-0100-00000D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6" name="AutoShape 184">
          <a:extLst>
            <a:ext uri="{FF2B5EF4-FFF2-40B4-BE49-F238E27FC236}">
              <a16:creationId xmlns:a16="http://schemas.microsoft.com/office/drawing/2014/main" id="{00000000-0008-0000-0100-00000E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7" name="AutoShape 185">
          <a:extLst>
            <a:ext uri="{FF2B5EF4-FFF2-40B4-BE49-F238E27FC236}">
              <a16:creationId xmlns:a16="http://schemas.microsoft.com/office/drawing/2014/main" id="{00000000-0008-0000-0100-00000F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8" name="AutoShape 186">
          <a:extLst>
            <a:ext uri="{FF2B5EF4-FFF2-40B4-BE49-F238E27FC236}">
              <a16:creationId xmlns:a16="http://schemas.microsoft.com/office/drawing/2014/main" id="{00000000-0008-0000-0100-000010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649" name="AutoShape 187">
          <a:extLst>
            <a:ext uri="{FF2B5EF4-FFF2-40B4-BE49-F238E27FC236}">
              <a16:creationId xmlns:a16="http://schemas.microsoft.com/office/drawing/2014/main" id="{00000000-0008-0000-0100-000011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0" name="AutoShape 80">
          <a:extLst>
            <a:ext uri="{FF2B5EF4-FFF2-40B4-BE49-F238E27FC236}">
              <a16:creationId xmlns:a16="http://schemas.microsoft.com/office/drawing/2014/main" id="{00000000-0008-0000-0100-000012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1" name="AutoShape 84">
          <a:extLst>
            <a:ext uri="{FF2B5EF4-FFF2-40B4-BE49-F238E27FC236}">
              <a16:creationId xmlns:a16="http://schemas.microsoft.com/office/drawing/2014/main" id="{00000000-0008-0000-0100-000013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2" name="AutoShape 157">
          <a:extLst>
            <a:ext uri="{FF2B5EF4-FFF2-40B4-BE49-F238E27FC236}">
              <a16:creationId xmlns:a16="http://schemas.microsoft.com/office/drawing/2014/main" id="{00000000-0008-0000-0100-000014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3" name="AutoShape 158">
          <a:extLst>
            <a:ext uri="{FF2B5EF4-FFF2-40B4-BE49-F238E27FC236}">
              <a16:creationId xmlns:a16="http://schemas.microsoft.com/office/drawing/2014/main" id="{00000000-0008-0000-0100-000015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4" name="AutoShape 124">
          <a:extLst>
            <a:ext uri="{FF2B5EF4-FFF2-40B4-BE49-F238E27FC236}">
              <a16:creationId xmlns:a16="http://schemas.microsoft.com/office/drawing/2014/main" id="{00000000-0008-0000-0100-000016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655" name="AutoShape 80">
          <a:extLst>
            <a:ext uri="{FF2B5EF4-FFF2-40B4-BE49-F238E27FC236}">
              <a16:creationId xmlns:a16="http://schemas.microsoft.com/office/drawing/2014/main" id="{00000000-0008-0000-0100-000017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6" name="AutoShape 84">
          <a:extLst>
            <a:ext uri="{FF2B5EF4-FFF2-40B4-BE49-F238E27FC236}">
              <a16:creationId xmlns:a16="http://schemas.microsoft.com/office/drawing/2014/main" id="{00000000-0008-0000-0100-000018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7" name="AutoShape 157">
          <a:extLst>
            <a:ext uri="{FF2B5EF4-FFF2-40B4-BE49-F238E27FC236}">
              <a16:creationId xmlns:a16="http://schemas.microsoft.com/office/drawing/2014/main" id="{00000000-0008-0000-0100-000019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8" name="AutoShape 158">
          <a:extLst>
            <a:ext uri="{FF2B5EF4-FFF2-40B4-BE49-F238E27FC236}">
              <a16:creationId xmlns:a16="http://schemas.microsoft.com/office/drawing/2014/main" id="{00000000-0008-0000-0100-00001A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59" name="AutoShape 249">
          <a:extLst>
            <a:ext uri="{FF2B5EF4-FFF2-40B4-BE49-F238E27FC236}">
              <a16:creationId xmlns:a16="http://schemas.microsoft.com/office/drawing/2014/main" id="{00000000-0008-0000-0100-00001B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60" name="AutoShape 184">
          <a:extLst>
            <a:ext uri="{FF2B5EF4-FFF2-40B4-BE49-F238E27FC236}">
              <a16:creationId xmlns:a16="http://schemas.microsoft.com/office/drawing/2014/main" id="{00000000-0008-0000-0100-00001C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61" name="AutoShape 185">
          <a:extLst>
            <a:ext uri="{FF2B5EF4-FFF2-40B4-BE49-F238E27FC236}">
              <a16:creationId xmlns:a16="http://schemas.microsoft.com/office/drawing/2014/main" id="{00000000-0008-0000-0100-00001D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62" name="AutoShape 186">
          <a:extLst>
            <a:ext uri="{FF2B5EF4-FFF2-40B4-BE49-F238E27FC236}">
              <a16:creationId xmlns:a16="http://schemas.microsoft.com/office/drawing/2014/main" id="{00000000-0008-0000-0100-00001E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663" name="AutoShape 187">
          <a:extLst>
            <a:ext uri="{FF2B5EF4-FFF2-40B4-BE49-F238E27FC236}">
              <a16:creationId xmlns:a16="http://schemas.microsoft.com/office/drawing/2014/main" id="{00000000-0008-0000-0100-00001F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64" name="AutoShape 80">
          <a:extLst>
            <a:ext uri="{FF2B5EF4-FFF2-40B4-BE49-F238E27FC236}">
              <a16:creationId xmlns:a16="http://schemas.microsoft.com/office/drawing/2014/main" id="{00000000-0008-0000-0100-000020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65" name="AutoShape 84">
          <a:extLst>
            <a:ext uri="{FF2B5EF4-FFF2-40B4-BE49-F238E27FC236}">
              <a16:creationId xmlns:a16="http://schemas.microsoft.com/office/drawing/2014/main" id="{00000000-0008-0000-0100-000021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66" name="AutoShape 157">
          <a:extLst>
            <a:ext uri="{FF2B5EF4-FFF2-40B4-BE49-F238E27FC236}">
              <a16:creationId xmlns:a16="http://schemas.microsoft.com/office/drawing/2014/main" id="{00000000-0008-0000-0100-000022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67" name="AutoShape 158">
          <a:extLst>
            <a:ext uri="{FF2B5EF4-FFF2-40B4-BE49-F238E27FC236}">
              <a16:creationId xmlns:a16="http://schemas.microsoft.com/office/drawing/2014/main" id="{00000000-0008-0000-0100-000023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68" name="AutoShape 124">
          <a:extLst>
            <a:ext uri="{FF2B5EF4-FFF2-40B4-BE49-F238E27FC236}">
              <a16:creationId xmlns:a16="http://schemas.microsoft.com/office/drawing/2014/main" id="{00000000-0008-0000-0100-000024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5669" name="AutoShape 80">
          <a:extLst>
            <a:ext uri="{FF2B5EF4-FFF2-40B4-BE49-F238E27FC236}">
              <a16:creationId xmlns:a16="http://schemas.microsoft.com/office/drawing/2014/main" id="{00000000-0008-0000-0100-000025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0" name="AutoShape 84">
          <a:extLst>
            <a:ext uri="{FF2B5EF4-FFF2-40B4-BE49-F238E27FC236}">
              <a16:creationId xmlns:a16="http://schemas.microsoft.com/office/drawing/2014/main" id="{00000000-0008-0000-0100-000026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1" name="AutoShape 157">
          <a:extLst>
            <a:ext uri="{FF2B5EF4-FFF2-40B4-BE49-F238E27FC236}">
              <a16:creationId xmlns:a16="http://schemas.microsoft.com/office/drawing/2014/main" id="{00000000-0008-0000-0100-000027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2" name="AutoShape 158">
          <a:extLst>
            <a:ext uri="{FF2B5EF4-FFF2-40B4-BE49-F238E27FC236}">
              <a16:creationId xmlns:a16="http://schemas.microsoft.com/office/drawing/2014/main" id="{00000000-0008-0000-0100-000028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3" name="AutoShape 249">
          <a:extLst>
            <a:ext uri="{FF2B5EF4-FFF2-40B4-BE49-F238E27FC236}">
              <a16:creationId xmlns:a16="http://schemas.microsoft.com/office/drawing/2014/main" id="{00000000-0008-0000-0100-000029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4" name="AutoShape 184">
          <a:extLst>
            <a:ext uri="{FF2B5EF4-FFF2-40B4-BE49-F238E27FC236}">
              <a16:creationId xmlns:a16="http://schemas.microsoft.com/office/drawing/2014/main" id="{00000000-0008-0000-0100-00002A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5" name="AutoShape 185">
          <a:extLst>
            <a:ext uri="{FF2B5EF4-FFF2-40B4-BE49-F238E27FC236}">
              <a16:creationId xmlns:a16="http://schemas.microsoft.com/office/drawing/2014/main" id="{00000000-0008-0000-0100-00002B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6" name="AutoShape 186">
          <a:extLst>
            <a:ext uri="{FF2B5EF4-FFF2-40B4-BE49-F238E27FC236}">
              <a16:creationId xmlns:a16="http://schemas.microsoft.com/office/drawing/2014/main" id="{00000000-0008-0000-0100-00002C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677" name="AutoShape 187">
          <a:extLst>
            <a:ext uri="{FF2B5EF4-FFF2-40B4-BE49-F238E27FC236}">
              <a16:creationId xmlns:a16="http://schemas.microsoft.com/office/drawing/2014/main" id="{00000000-0008-0000-0100-00002D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78" name="AutoShape 80">
          <a:extLst>
            <a:ext uri="{FF2B5EF4-FFF2-40B4-BE49-F238E27FC236}">
              <a16:creationId xmlns:a16="http://schemas.microsoft.com/office/drawing/2014/main" id="{00000000-0008-0000-0100-00002E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79" name="AutoShape 84">
          <a:extLst>
            <a:ext uri="{FF2B5EF4-FFF2-40B4-BE49-F238E27FC236}">
              <a16:creationId xmlns:a16="http://schemas.microsoft.com/office/drawing/2014/main" id="{00000000-0008-0000-0100-00002F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0" name="AutoShape 157">
          <a:extLst>
            <a:ext uri="{FF2B5EF4-FFF2-40B4-BE49-F238E27FC236}">
              <a16:creationId xmlns:a16="http://schemas.microsoft.com/office/drawing/2014/main" id="{00000000-0008-0000-0100-000030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1" name="AutoShape 158">
          <a:extLst>
            <a:ext uri="{FF2B5EF4-FFF2-40B4-BE49-F238E27FC236}">
              <a16:creationId xmlns:a16="http://schemas.microsoft.com/office/drawing/2014/main" id="{00000000-0008-0000-0100-000031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2" name="AutoShape 124">
          <a:extLst>
            <a:ext uri="{FF2B5EF4-FFF2-40B4-BE49-F238E27FC236}">
              <a16:creationId xmlns:a16="http://schemas.microsoft.com/office/drawing/2014/main" id="{00000000-0008-0000-0100-000032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683" name="AutoShape 80">
          <a:extLst>
            <a:ext uri="{FF2B5EF4-FFF2-40B4-BE49-F238E27FC236}">
              <a16:creationId xmlns:a16="http://schemas.microsoft.com/office/drawing/2014/main" id="{00000000-0008-0000-0100-000033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4" name="AutoShape 84">
          <a:extLst>
            <a:ext uri="{FF2B5EF4-FFF2-40B4-BE49-F238E27FC236}">
              <a16:creationId xmlns:a16="http://schemas.microsoft.com/office/drawing/2014/main" id="{00000000-0008-0000-0100-000034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5" name="AutoShape 157">
          <a:extLst>
            <a:ext uri="{FF2B5EF4-FFF2-40B4-BE49-F238E27FC236}">
              <a16:creationId xmlns:a16="http://schemas.microsoft.com/office/drawing/2014/main" id="{00000000-0008-0000-0100-000035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6" name="AutoShape 158">
          <a:extLst>
            <a:ext uri="{FF2B5EF4-FFF2-40B4-BE49-F238E27FC236}">
              <a16:creationId xmlns:a16="http://schemas.microsoft.com/office/drawing/2014/main" id="{00000000-0008-0000-0100-000036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7" name="AutoShape 249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8" name="AutoShape 184">
          <a:extLst>
            <a:ext uri="{FF2B5EF4-FFF2-40B4-BE49-F238E27FC236}">
              <a16:creationId xmlns:a16="http://schemas.microsoft.com/office/drawing/2014/main" id="{00000000-0008-0000-0100-000038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89" name="AutoShape 185">
          <a:extLst>
            <a:ext uri="{FF2B5EF4-FFF2-40B4-BE49-F238E27FC236}">
              <a16:creationId xmlns:a16="http://schemas.microsoft.com/office/drawing/2014/main" id="{00000000-0008-0000-0100-000039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90" name="AutoShape 186">
          <a:extLst>
            <a:ext uri="{FF2B5EF4-FFF2-40B4-BE49-F238E27FC236}">
              <a16:creationId xmlns:a16="http://schemas.microsoft.com/office/drawing/2014/main" id="{00000000-0008-0000-0100-00003A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691" name="AutoShape 187">
          <a:extLst>
            <a:ext uri="{FF2B5EF4-FFF2-40B4-BE49-F238E27FC236}">
              <a16:creationId xmlns:a16="http://schemas.microsoft.com/office/drawing/2014/main" id="{00000000-0008-0000-0100-00003B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2" name="AutoShape 80">
          <a:extLst>
            <a:ext uri="{FF2B5EF4-FFF2-40B4-BE49-F238E27FC236}">
              <a16:creationId xmlns:a16="http://schemas.microsoft.com/office/drawing/2014/main" id="{00000000-0008-0000-0100-00003C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3" name="AutoShape 84">
          <a:extLst>
            <a:ext uri="{FF2B5EF4-FFF2-40B4-BE49-F238E27FC236}">
              <a16:creationId xmlns:a16="http://schemas.microsoft.com/office/drawing/2014/main" id="{00000000-0008-0000-0100-00003D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4" name="AutoShape 157">
          <a:extLst>
            <a:ext uri="{FF2B5EF4-FFF2-40B4-BE49-F238E27FC236}">
              <a16:creationId xmlns:a16="http://schemas.microsoft.com/office/drawing/2014/main" id="{00000000-0008-0000-0100-00003E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5" name="AutoShape 158">
          <a:extLst>
            <a:ext uri="{FF2B5EF4-FFF2-40B4-BE49-F238E27FC236}">
              <a16:creationId xmlns:a16="http://schemas.microsoft.com/office/drawing/2014/main" id="{00000000-0008-0000-0100-00003F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6" name="AutoShape 124">
          <a:extLst>
            <a:ext uri="{FF2B5EF4-FFF2-40B4-BE49-F238E27FC236}">
              <a16:creationId xmlns:a16="http://schemas.microsoft.com/office/drawing/2014/main" id="{00000000-0008-0000-0100-000040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697" name="AutoShape 80">
          <a:extLst>
            <a:ext uri="{FF2B5EF4-FFF2-40B4-BE49-F238E27FC236}">
              <a16:creationId xmlns:a16="http://schemas.microsoft.com/office/drawing/2014/main" id="{00000000-0008-0000-0100-000041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8" name="AutoShape 84">
          <a:extLst>
            <a:ext uri="{FF2B5EF4-FFF2-40B4-BE49-F238E27FC236}">
              <a16:creationId xmlns:a16="http://schemas.microsoft.com/office/drawing/2014/main" id="{00000000-0008-0000-0100-000042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699" name="AutoShape 157">
          <a:extLst>
            <a:ext uri="{FF2B5EF4-FFF2-40B4-BE49-F238E27FC236}">
              <a16:creationId xmlns:a16="http://schemas.microsoft.com/office/drawing/2014/main" id="{00000000-0008-0000-0100-000043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0" name="AutoShape 158">
          <a:extLst>
            <a:ext uri="{FF2B5EF4-FFF2-40B4-BE49-F238E27FC236}">
              <a16:creationId xmlns:a16="http://schemas.microsoft.com/office/drawing/2014/main" id="{00000000-0008-0000-0100-000044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1" name="AutoShape 249">
          <a:extLst>
            <a:ext uri="{FF2B5EF4-FFF2-40B4-BE49-F238E27FC236}">
              <a16:creationId xmlns:a16="http://schemas.microsoft.com/office/drawing/2014/main" id="{00000000-0008-0000-0100-000045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2" name="AutoShape 184">
          <a:extLst>
            <a:ext uri="{FF2B5EF4-FFF2-40B4-BE49-F238E27FC236}">
              <a16:creationId xmlns:a16="http://schemas.microsoft.com/office/drawing/2014/main" id="{00000000-0008-0000-0100-000046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3" name="AutoShape 185">
          <a:extLst>
            <a:ext uri="{FF2B5EF4-FFF2-40B4-BE49-F238E27FC236}">
              <a16:creationId xmlns:a16="http://schemas.microsoft.com/office/drawing/2014/main" id="{00000000-0008-0000-0100-000047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4" name="AutoShape 186">
          <a:extLst>
            <a:ext uri="{FF2B5EF4-FFF2-40B4-BE49-F238E27FC236}">
              <a16:creationId xmlns:a16="http://schemas.microsoft.com/office/drawing/2014/main" id="{00000000-0008-0000-0100-000048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05" name="AutoShape 187">
          <a:extLst>
            <a:ext uri="{FF2B5EF4-FFF2-40B4-BE49-F238E27FC236}">
              <a16:creationId xmlns:a16="http://schemas.microsoft.com/office/drawing/2014/main" id="{00000000-0008-0000-0100-000049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06" name="AutoShape 80">
          <a:extLst>
            <a:ext uri="{FF2B5EF4-FFF2-40B4-BE49-F238E27FC236}">
              <a16:creationId xmlns:a16="http://schemas.microsoft.com/office/drawing/2014/main" id="{00000000-0008-0000-0100-00004A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07" name="AutoShape 84">
          <a:extLst>
            <a:ext uri="{FF2B5EF4-FFF2-40B4-BE49-F238E27FC236}">
              <a16:creationId xmlns:a16="http://schemas.microsoft.com/office/drawing/2014/main" id="{00000000-0008-0000-0100-00004B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08" name="AutoShape 157">
          <a:extLst>
            <a:ext uri="{FF2B5EF4-FFF2-40B4-BE49-F238E27FC236}">
              <a16:creationId xmlns:a16="http://schemas.microsoft.com/office/drawing/2014/main" id="{00000000-0008-0000-0100-00004C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09" name="AutoShape 158">
          <a:extLst>
            <a:ext uri="{FF2B5EF4-FFF2-40B4-BE49-F238E27FC236}">
              <a16:creationId xmlns:a16="http://schemas.microsoft.com/office/drawing/2014/main" id="{00000000-0008-0000-0100-00004D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0" name="AutoShape 124">
          <a:extLst>
            <a:ext uri="{FF2B5EF4-FFF2-40B4-BE49-F238E27FC236}">
              <a16:creationId xmlns:a16="http://schemas.microsoft.com/office/drawing/2014/main" id="{00000000-0008-0000-0100-00004E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711" name="AutoShape 80">
          <a:extLst>
            <a:ext uri="{FF2B5EF4-FFF2-40B4-BE49-F238E27FC236}">
              <a16:creationId xmlns:a16="http://schemas.microsoft.com/office/drawing/2014/main" id="{00000000-0008-0000-0100-00004F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2" name="AutoShape 84">
          <a:extLst>
            <a:ext uri="{FF2B5EF4-FFF2-40B4-BE49-F238E27FC236}">
              <a16:creationId xmlns:a16="http://schemas.microsoft.com/office/drawing/2014/main" id="{00000000-0008-0000-0100-000050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3" name="AutoShape 157">
          <a:extLst>
            <a:ext uri="{FF2B5EF4-FFF2-40B4-BE49-F238E27FC236}">
              <a16:creationId xmlns:a16="http://schemas.microsoft.com/office/drawing/2014/main" id="{00000000-0008-0000-0100-000051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4" name="AutoShape 158">
          <a:extLst>
            <a:ext uri="{FF2B5EF4-FFF2-40B4-BE49-F238E27FC236}">
              <a16:creationId xmlns:a16="http://schemas.microsoft.com/office/drawing/2014/main" id="{00000000-0008-0000-0100-000052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5" name="AutoShape 249">
          <a:extLst>
            <a:ext uri="{FF2B5EF4-FFF2-40B4-BE49-F238E27FC236}">
              <a16:creationId xmlns:a16="http://schemas.microsoft.com/office/drawing/2014/main" id="{00000000-0008-0000-0100-000053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6" name="AutoShape 184">
          <a:extLst>
            <a:ext uri="{FF2B5EF4-FFF2-40B4-BE49-F238E27FC236}">
              <a16:creationId xmlns:a16="http://schemas.microsoft.com/office/drawing/2014/main" id="{00000000-0008-0000-0100-000054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7" name="AutoShape 185">
          <a:extLst>
            <a:ext uri="{FF2B5EF4-FFF2-40B4-BE49-F238E27FC236}">
              <a16:creationId xmlns:a16="http://schemas.microsoft.com/office/drawing/2014/main" id="{00000000-0008-0000-0100-000055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8" name="AutoShape 186">
          <a:extLst>
            <a:ext uri="{FF2B5EF4-FFF2-40B4-BE49-F238E27FC236}">
              <a16:creationId xmlns:a16="http://schemas.microsoft.com/office/drawing/2014/main" id="{00000000-0008-0000-0100-000056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19" name="AutoShape 187">
          <a:extLst>
            <a:ext uri="{FF2B5EF4-FFF2-40B4-BE49-F238E27FC236}">
              <a16:creationId xmlns:a16="http://schemas.microsoft.com/office/drawing/2014/main" id="{00000000-0008-0000-0100-000057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0" name="AutoShape 80">
          <a:extLst>
            <a:ext uri="{FF2B5EF4-FFF2-40B4-BE49-F238E27FC236}">
              <a16:creationId xmlns:a16="http://schemas.microsoft.com/office/drawing/2014/main" id="{00000000-0008-0000-0100-000058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1" name="AutoShape 84">
          <a:extLst>
            <a:ext uri="{FF2B5EF4-FFF2-40B4-BE49-F238E27FC236}">
              <a16:creationId xmlns:a16="http://schemas.microsoft.com/office/drawing/2014/main" id="{00000000-0008-0000-0100-000059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2" name="AutoShape 157">
          <a:extLst>
            <a:ext uri="{FF2B5EF4-FFF2-40B4-BE49-F238E27FC236}">
              <a16:creationId xmlns:a16="http://schemas.microsoft.com/office/drawing/2014/main" id="{00000000-0008-0000-0100-00005A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3" name="AutoShape 158">
          <a:extLst>
            <a:ext uri="{FF2B5EF4-FFF2-40B4-BE49-F238E27FC236}">
              <a16:creationId xmlns:a16="http://schemas.microsoft.com/office/drawing/2014/main" id="{00000000-0008-0000-0100-00005B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4" name="AutoShape 124">
          <a:extLst>
            <a:ext uri="{FF2B5EF4-FFF2-40B4-BE49-F238E27FC236}">
              <a16:creationId xmlns:a16="http://schemas.microsoft.com/office/drawing/2014/main" id="{00000000-0008-0000-0100-00005C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725" name="AutoShape 80">
          <a:extLst>
            <a:ext uri="{FF2B5EF4-FFF2-40B4-BE49-F238E27FC236}">
              <a16:creationId xmlns:a16="http://schemas.microsoft.com/office/drawing/2014/main" id="{00000000-0008-0000-0100-00005D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6" name="AutoShape 84">
          <a:extLst>
            <a:ext uri="{FF2B5EF4-FFF2-40B4-BE49-F238E27FC236}">
              <a16:creationId xmlns:a16="http://schemas.microsoft.com/office/drawing/2014/main" id="{00000000-0008-0000-0100-00005E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7" name="AutoShape 157">
          <a:extLst>
            <a:ext uri="{FF2B5EF4-FFF2-40B4-BE49-F238E27FC236}">
              <a16:creationId xmlns:a16="http://schemas.microsoft.com/office/drawing/2014/main" id="{00000000-0008-0000-0100-00005F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8" name="AutoShape 158">
          <a:extLst>
            <a:ext uri="{FF2B5EF4-FFF2-40B4-BE49-F238E27FC236}">
              <a16:creationId xmlns:a16="http://schemas.microsoft.com/office/drawing/2014/main" id="{00000000-0008-0000-0100-000060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29" name="AutoShape 249">
          <a:extLst>
            <a:ext uri="{FF2B5EF4-FFF2-40B4-BE49-F238E27FC236}">
              <a16:creationId xmlns:a16="http://schemas.microsoft.com/office/drawing/2014/main" id="{00000000-0008-0000-0100-000061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0" name="AutoShape 184">
          <a:extLst>
            <a:ext uri="{FF2B5EF4-FFF2-40B4-BE49-F238E27FC236}">
              <a16:creationId xmlns:a16="http://schemas.microsoft.com/office/drawing/2014/main" id="{00000000-0008-0000-0100-000062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1" name="AutoShape 185">
          <a:extLst>
            <a:ext uri="{FF2B5EF4-FFF2-40B4-BE49-F238E27FC236}">
              <a16:creationId xmlns:a16="http://schemas.microsoft.com/office/drawing/2014/main" id="{00000000-0008-0000-0100-000063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2" name="AutoShape 186">
          <a:extLst>
            <a:ext uri="{FF2B5EF4-FFF2-40B4-BE49-F238E27FC236}">
              <a16:creationId xmlns:a16="http://schemas.microsoft.com/office/drawing/2014/main" id="{00000000-0008-0000-0100-000064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3" name="AutoShape 187">
          <a:extLst>
            <a:ext uri="{FF2B5EF4-FFF2-40B4-BE49-F238E27FC236}">
              <a16:creationId xmlns:a16="http://schemas.microsoft.com/office/drawing/2014/main" id="{00000000-0008-0000-0100-000065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4" name="AutoShape 80">
          <a:extLst>
            <a:ext uri="{FF2B5EF4-FFF2-40B4-BE49-F238E27FC236}">
              <a16:creationId xmlns:a16="http://schemas.microsoft.com/office/drawing/2014/main" id="{00000000-0008-0000-0100-000066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5" name="AutoShape 84">
          <a:extLst>
            <a:ext uri="{FF2B5EF4-FFF2-40B4-BE49-F238E27FC236}">
              <a16:creationId xmlns:a16="http://schemas.microsoft.com/office/drawing/2014/main" id="{00000000-0008-0000-0100-000067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6" name="AutoShape 157">
          <a:extLst>
            <a:ext uri="{FF2B5EF4-FFF2-40B4-BE49-F238E27FC236}">
              <a16:creationId xmlns:a16="http://schemas.microsoft.com/office/drawing/2014/main" id="{00000000-0008-0000-0100-000068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7" name="AutoShape 158">
          <a:extLst>
            <a:ext uri="{FF2B5EF4-FFF2-40B4-BE49-F238E27FC236}">
              <a16:creationId xmlns:a16="http://schemas.microsoft.com/office/drawing/2014/main" id="{00000000-0008-0000-0100-000069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38" name="AutoShape 124">
          <a:extLst>
            <a:ext uri="{FF2B5EF4-FFF2-40B4-BE49-F238E27FC236}">
              <a16:creationId xmlns:a16="http://schemas.microsoft.com/office/drawing/2014/main" id="{00000000-0008-0000-0100-00006A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739" name="AutoShape 80">
          <a:extLst>
            <a:ext uri="{FF2B5EF4-FFF2-40B4-BE49-F238E27FC236}">
              <a16:creationId xmlns:a16="http://schemas.microsoft.com/office/drawing/2014/main" id="{00000000-0008-0000-0100-00006B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0" name="AutoShape 84">
          <a:extLst>
            <a:ext uri="{FF2B5EF4-FFF2-40B4-BE49-F238E27FC236}">
              <a16:creationId xmlns:a16="http://schemas.microsoft.com/office/drawing/2014/main" id="{00000000-0008-0000-0100-00006C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1" name="AutoShape 157">
          <a:extLst>
            <a:ext uri="{FF2B5EF4-FFF2-40B4-BE49-F238E27FC236}">
              <a16:creationId xmlns:a16="http://schemas.microsoft.com/office/drawing/2014/main" id="{00000000-0008-0000-0100-00006D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2" name="AutoShape 158">
          <a:extLst>
            <a:ext uri="{FF2B5EF4-FFF2-40B4-BE49-F238E27FC236}">
              <a16:creationId xmlns:a16="http://schemas.microsoft.com/office/drawing/2014/main" id="{00000000-0008-0000-0100-00006E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3" name="AutoShape 249">
          <a:extLst>
            <a:ext uri="{FF2B5EF4-FFF2-40B4-BE49-F238E27FC236}">
              <a16:creationId xmlns:a16="http://schemas.microsoft.com/office/drawing/2014/main" id="{00000000-0008-0000-0100-00006F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4" name="AutoShape 184">
          <a:extLst>
            <a:ext uri="{FF2B5EF4-FFF2-40B4-BE49-F238E27FC236}">
              <a16:creationId xmlns:a16="http://schemas.microsoft.com/office/drawing/2014/main" id="{00000000-0008-0000-0100-000070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5" name="AutoShape 185">
          <a:extLst>
            <a:ext uri="{FF2B5EF4-FFF2-40B4-BE49-F238E27FC236}">
              <a16:creationId xmlns:a16="http://schemas.microsoft.com/office/drawing/2014/main" id="{00000000-0008-0000-0100-000071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6" name="AutoShape 186">
          <a:extLst>
            <a:ext uri="{FF2B5EF4-FFF2-40B4-BE49-F238E27FC236}">
              <a16:creationId xmlns:a16="http://schemas.microsoft.com/office/drawing/2014/main" id="{00000000-0008-0000-0100-000072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747" name="AutoShape 187">
          <a:extLst>
            <a:ext uri="{FF2B5EF4-FFF2-40B4-BE49-F238E27FC236}">
              <a16:creationId xmlns:a16="http://schemas.microsoft.com/office/drawing/2014/main" id="{00000000-0008-0000-0100-000073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48" name="AutoShape 80">
          <a:extLst>
            <a:ext uri="{FF2B5EF4-FFF2-40B4-BE49-F238E27FC236}">
              <a16:creationId xmlns:a16="http://schemas.microsoft.com/office/drawing/2014/main" id="{00000000-0008-0000-0100-000074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49" name="AutoShape 84">
          <a:extLst>
            <a:ext uri="{FF2B5EF4-FFF2-40B4-BE49-F238E27FC236}">
              <a16:creationId xmlns:a16="http://schemas.microsoft.com/office/drawing/2014/main" id="{00000000-0008-0000-0100-000075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0" name="AutoShape 157">
          <a:extLst>
            <a:ext uri="{FF2B5EF4-FFF2-40B4-BE49-F238E27FC236}">
              <a16:creationId xmlns:a16="http://schemas.microsoft.com/office/drawing/2014/main" id="{00000000-0008-0000-0100-000076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1" name="AutoShape 158">
          <a:extLst>
            <a:ext uri="{FF2B5EF4-FFF2-40B4-BE49-F238E27FC236}">
              <a16:creationId xmlns:a16="http://schemas.microsoft.com/office/drawing/2014/main" id="{00000000-0008-0000-0100-000077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2" name="AutoShape 124">
          <a:extLst>
            <a:ext uri="{FF2B5EF4-FFF2-40B4-BE49-F238E27FC236}">
              <a16:creationId xmlns:a16="http://schemas.microsoft.com/office/drawing/2014/main" id="{00000000-0008-0000-0100-000078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20</xdr:col>
      <xdr:colOff>0</xdr:colOff>
      <xdr:row>102</xdr:row>
      <xdr:rowOff>0</xdr:rowOff>
    </xdr:to>
    <xdr:sp macro="" textlink="">
      <xdr:nvSpPr>
        <xdr:cNvPr id="5753" name="AutoShape 80">
          <a:extLst>
            <a:ext uri="{FF2B5EF4-FFF2-40B4-BE49-F238E27FC236}">
              <a16:creationId xmlns:a16="http://schemas.microsoft.com/office/drawing/2014/main" id="{00000000-0008-0000-0100-000079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4" name="AutoShape 84">
          <a:extLst>
            <a:ext uri="{FF2B5EF4-FFF2-40B4-BE49-F238E27FC236}">
              <a16:creationId xmlns:a16="http://schemas.microsoft.com/office/drawing/2014/main" id="{00000000-0008-0000-0100-00007A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5" name="AutoShape 157">
          <a:extLst>
            <a:ext uri="{FF2B5EF4-FFF2-40B4-BE49-F238E27FC236}">
              <a16:creationId xmlns:a16="http://schemas.microsoft.com/office/drawing/2014/main" id="{00000000-0008-0000-0100-00007B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6" name="AutoShape 158">
          <a:extLst>
            <a:ext uri="{FF2B5EF4-FFF2-40B4-BE49-F238E27FC236}">
              <a16:creationId xmlns:a16="http://schemas.microsoft.com/office/drawing/2014/main" id="{00000000-0008-0000-0100-00007C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7" name="AutoShape 249">
          <a:extLst>
            <a:ext uri="{FF2B5EF4-FFF2-40B4-BE49-F238E27FC236}">
              <a16:creationId xmlns:a16="http://schemas.microsoft.com/office/drawing/2014/main" id="{00000000-0008-0000-0100-00007D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8" name="AutoShape 184">
          <a:extLst>
            <a:ext uri="{FF2B5EF4-FFF2-40B4-BE49-F238E27FC236}">
              <a16:creationId xmlns:a16="http://schemas.microsoft.com/office/drawing/2014/main" id="{00000000-0008-0000-0100-00007E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59" name="AutoShape 185">
          <a:extLst>
            <a:ext uri="{FF2B5EF4-FFF2-40B4-BE49-F238E27FC236}">
              <a16:creationId xmlns:a16="http://schemas.microsoft.com/office/drawing/2014/main" id="{00000000-0008-0000-0100-00007F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60" name="AutoShape 186">
          <a:extLst>
            <a:ext uri="{FF2B5EF4-FFF2-40B4-BE49-F238E27FC236}">
              <a16:creationId xmlns:a16="http://schemas.microsoft.com/office/drawing/2014/main" id="{00000000-0008-0000-0100-00008016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102</xdr:row>
      <xdr:rowOff>0</xdr:rowOff>
    </xdr:from>
    <xdr:to>
      <xdr:col>19</xdr:col>
      <xdr:colOff>495300</xdr:colOff>
      <xdr:row>102</xdr:row>
      <xdr:rowOff>0</xdr:rowOff>
    </xdr:to>
    <xdr:sp macro="" textlink="">
      <xdr:nvSpPr>
        <xdr:cNvPr id="5761" name="AutoShape 187">
          <a:extLst>
            <a:ext uri="{FF2B5EF4-FFF2-40B4-BE49-F238E27FC236}">
              <a16:creationId xmlns:a16="http://schemas.microsoft.com/office/drawing/2014/main" id="{00000000-0008-0000-0100-00008116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2" name="AutoShape 80">
          <a:extLst>
            <a:ext uri="{FF2B5EF4-FFF2-40B4-BE49-F238E27FC236}">
              <a16:creationId xmlns:a16="http://schemas.microsoft.com/office/drawing/2014/main" id="{00000000-0008-0000-0100-000082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3" name="AutoShape 84">
          <a:extLst>
            <a:ext uri="{FF2B5EF4-FFF2-40B4-BE49-F238E27FC236}">
              <a16:creationId xmlns:a16="http://schemas.microsoft.com/office/drawing/2014/main" id="{00000000-0008-0000-0100-000083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4" name="AutoShape 157">
          <a:extLst>
            <a:ext uri="{FF2B5EF4-FFF2-40B4-BE49-F238E27FC236}">
              <a16:creationId xmlns:a16="http://schemas.microsoft.com/office/drawing/2014/main" id="{00000000-0008-0000-0100-000084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5" name="AutoShape 158">
          <a:extLst>
            <a:ext uri="{FF2B5EF4-FFF2-40B4-BE49-F238E27FC236}">
              <a16:creationId xmlns:a16="http://schemas.microsoft.com/office/drawing/2014/main" id="{00000000-0008-0000-0100-000085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6" name="AutoShape 124">
          <a:extLst>
            <a:ext uri="{FF2B5EF4-FFF2-40B4-BE49-F238E27FC236}">
              <a16:creationId xmlns:a16="http://schemas.microsoft.com/office/drawing/2014/main" id="{00000000-0008-0000-0100-000086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767" name="AutoShape 80">
          <a:extLst>
            <a:ext uri="{FF2B5EF4-FFF2-40B4-BE49-F238E27FC236}">
              <a16:creationId xmlns:a16="http://schemas.microsoft.com/office/drawing/2014/main" id="{00000000-0008-0000-0100-000087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8" name="AutoShape 84">
          <a:extLst>
            <a:ext uri="{FF2B5EF4-FFF2-40B4-BE49-F238E27FC236}">
              <a16:creationId xmlns:a16="http://schemas.microsoft.com/office/drawing/2014/main" id="{00000000-0008-0000-0100-000088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69" name="AutoShape 157">
          <a:extLst>
            <a:ext uri="{FF2B5EF4-FFF2-40B4-BE49-F238E27FC236}">
              <a16:creationId xmlns:a16="http://schemas.microsoft.com/office/drawing/2014/main" id="{00000000-0008-0000-0100-000089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0" name="AutoShape 158">
          <a:extLst>
            <a:ext uri="{FF2B5EF4-FFF2-40B4-BE49-F238E27FC236}">
              <a16:creationId xmlns:a16="http://schemas.microsoft.com/office/drawing/2014/main" id="{00000000-0008-0000-0100-00008A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1" name="AutoShape 249">
          <a:extLst>
            <a:ext uri="{FF2B5EF4-FFF2-40B4-BE49-F238E27FC236}">
              <a16:creationId xmlns:a16="http://schemas.microsoft.com/office/drawing/2014/main" id="{00000000-0008-0000-0100-00008B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2" name="AutoShape 184">
          <a:extLst>
            <a:ext uri="{FF2B5EF4-FFF2-40B4-BE49-F238E27FC236}">
              <a16:creationId xmlns:a16="http://schemas.microsoft.com/office/drawing/2014/main" id="{00000000-0008-0000-0100-00008C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3" name="AutoShape 185">
          <a:extLst>
            <a:ext uri="{FF2B5EF4-FFF2-40B4-BE49-F238E27FC236}">
              <a16:creationId xmlns:a16="http://schemas.microsoft.com/office/drawing/2014/main" id="{00000000-0008-0000-0100-00008D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4" name="AutoShape 186">
          <a:extLst>
            <a:ext uri="{FF2B5EF4-FFF2-40B4-BE49-F238E27FC236}">
              <a16:creationId xmlns:a16="http://schemas.microsoft.com/office/drawing/2014/main" id="{00000000-0008-0000-0100-00008E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775" name="AutoShape 187">
          <a:extLst>
            <a:ext uri="{FF2B5EF4-FFF2-40B4-BE49-F238E27FC236}">
              <a16:creationId xmlns:a16="http://schemas.microsoft.com/office/drawing/2014/main" id="{00000000-0008-0000-0100-00008F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76" name="AutoShape 80">
          <a:extLst>
            <a:ext uri="{FF2B5EF4-FFF2-40B4-BE49-F238E27FC236}">
              <a16:creationId xmlns:a16="http://schemas.microsoft.com/office/drawing/2014/main" id="{00000000-0008-0000-0100-000090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77" name="AutoShape 84">
          <a:extLst>
            <a:ext uri="{FF2B5EF4-FFF2-40B4-BE49-F238E27FC236}">
              <a16:creationId xmlns:a16="http://schemas.microsoft.com/office/drawing/2014/main" id="{00000000-0008-0000-0100-000091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78" name="AutoShape 157">
          <a:extLst>
            <a:ext uri="{FF2B5EF4-FFF2-40B4-BE49-F238E27FC236}">
              <a16:creationId xmlns:a16="http://schemas.microsoft.com/office/drawing/2014/main" id="{00000000-0008-0000-0100-000092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79" name="AutoShape 158">
          <a:extLst>
            <a:ext uri="{FF2B5EF4-FFF2-40B4-BE49-F238E27FC236}">
              <a16:creationId xmlns:a16="http://schemas.microsoft.com/office/drawing/2014/main" id="{00000000-0008-0000-0100-000093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0" name="AutoShape 124">
          <a:extLst>
            <a:ext uri="{FF2B5EF4-FFF2-40B4-BE49-F238E27FC236}">
              <a16:creationId xmlns:a16="http://schemas.microsoft.com/office/drawing/2014/main" id="{00000000-0008-0000-0100-000094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781" name="AutoShape 80">
          <a:extLst>
            <a:ext uri="{FF2B5EF4-FFF2-40B4-BE49-F238E27FC236}">
              <a16:creationId xmlns:a16="http://schemas.microsoft.com/office/drawing/2014/main" id="{00000000-0008-0000-0100-000095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2" name="AutoShape 84">
          <a:extLst>
            <a:ext uri="{FF2B5EF4-FFF2-40B4-BE49-F238E27FC236}">
              <a16:creationId xmlns:a16="http://schemas.microsoft.com/office/drawing/2014/main" id="{00000000-0008-0000-0100-000096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3" name="AutoShape 157">
          <a:extLst>
            <a:ext uri="{FF2B5EF4-FFF2-40B4-BE49-F238E27FC236}">
              <a16:creationId xmlns:a16="http://schemas.microsoft.com/office/drawing/2014/main" id="{00000000-0008-0000-0100-000097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4" name="AutoShape 158">
          <a:extLst>
            <a:ext uri="{FF2B5EF4-FFF2-40B4-BE49-F238E27FC236}">
              <a16:creationId xmlns:a16="http://schemas.microsoft.com/office/drawing/2014/main" id="{00000000-0008-0000-0100-000098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5" name="AutoShape 249">
          <a:extLst>
            <a:ext uri="{FF2B5EF4-FFF2-40B4-BE49-F238E27FC236}">
              <a16:creationId xmlns:a16="http://schemas.microsoft.com/office/drawing/2014/main" id="{00000000-0008-0000-0100-000099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6" name="AutoShape 184">
          <a:extLst>
            <a:ext uri="{FF2B5EF4-FFF2-40B4-BE49-F238E27FC236}">
              <a16:creationId xmlns:a16="http://schemas.microsoft.com/office/drawing/2014/main" id="{00000000-0008-0000-0100-00009A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7" name="AutoShape 185">
          <a:extLst>
            <a:ext uri="{FF2B5EF4-FFF2-40B4-BE49-F238E27FC236}">
              <a16:creationId xmlns:a16="http://schemas.microsoft.com/office/drawing/2014/main" id="{00000000-0008-0000-0100-00009B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8" name="AutoShape 186">
          <a:extLst>
            <a:ext uri="{FF2B5EF4-FFF2-40B4-BE49-F238E27FC236}">
              <a16:creationId xmlns:a16="http://schemas.microsoft.com/office/drawing/2014/main" id="{00000000-0008-0000-0100-00009C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789" name="AutoShape 187">
          <a:extLst>
            <a:ext uri="{FF2B5EF4-FFF2-40B4-BE49-F238E27FC236}">
              <a16:creationId xmlns:a16="http://schemas.microsoft.com/office/drawing/2014/main" id="{00000000-0008-0000-0100-00009D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0" name="AutoShape 80">
          <a:extLst>
            <a:ext uri="{FF2B5EF4-FFF2-40B4-BE49-F238E27FC236}">
              <a16:creationId xmlns:a16="http://schemas.microsoft.com/office/drawing/2014/main" id="{00000000-0008-0000-0100-00009E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1" name="AutoShape 84">
          <a:extLst>
            <a:ext uri="{FF2B5EF4-FFF2-40B4-BE49-F238E27FC236}">
              <a16:creationId xmlns:a16="http://schemas.microsoft.com/office/drawing/2014/main" id="{00000000-0008-0000-0100-00009F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2" name="AutoShape 157">
          <a:extLst>
            <a:ext uri="{FF2B5EF4-FFF2-40B4-BE49-F238E27FC236}">
              <a16:creationId xmlns:a16="http://schemas.microsoft.com/office/drawing/2014/main" id="{00000000-0008-0000-0100-0000A0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3" name="AutoShape 158">
          <a:extLst>
            <a:ext uri="{FF2B5EF4-FFF2-40B4-BE49-F238E27FC236}">
              <a16:creationId xmlns:a16="http://schemas.microsoft.com/office/drawing/2014/main" id="{00000000-0008-0000-0100-0000A1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4" name="AutoShape 124">
          <a:extLst>
            <a:ext uri="{FF2B5EF4-FFF2-40B4-BE49-F238E27FC236}">
              <a16:creationId xmlns:a16="http://schemas.microsoft.com/office/drawing/2014/main" id="{00000000-0008-0000-0100-0000A2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795" name="AutoShape 80">
          <a:extLst>
            <a:ext uri="{FF2B5EF4-FFF2-40B4-BE49-F238E27FC236}">
              <a16:creationId xmlns:a16="http://schemas.microsoft.com/office/drawing/2014/main" id="{00000000-0008-0000-0100-0000A3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6" name="AutoShape 84">
          <a:extLst>
            <a:ext uri="{FF2B5EF4-FFF2-40B4-BE49-F238E27FC236}">
              <a16:creationId xmlns:a16="http://schemas.microsoft.com/office/drawing/2014/main" id="{00000000-0008-0000-0100-0000A4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7" name="AutoShape 157">
          <a:extLst>
            <a:ext uri="{FF2B5EF4-FFF2-40B4-BE49-F238E27FC236}">
              <a16:creationId xmlns:a16="http://schemas.microsoft.com/office/drawing/2014/main" id="{00000000-0008-0000-0100-0000A5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8" name="AutoShape 158">
          <a:extLst>
            <a:ext uri="{FF2B5EF4-FFF2-40B4-BE49-F238E27FC236}">
              <a16:creationId xmlns:a16="http://schemas.microsoft.com/office/drawing/2014/main" id="{00000000-0008-0000-0100-0000A6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799" name="AutoShape 249">
          <a:extLst>
            <a:ext uri="{FF2B5EF4-FFF2-40B4-BE49-F238E27FC236}">
              <a16:creationId xmlns:a16="http://schemas.microsoft.com/office/drawing/2014/main" id="{00000000-0008-0000-0100-0000A7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800" name="AutoShape 184">
          <a:extLst>
            <a:ext uri="{FF2B5EF4-FFF2-40B4-BE49-F238E27FC236}">
              <a16:creationId xmlns:a16="http://schemas.microsoft.com/office/drawing/2014/main" id="{00000000-0008-0000-0100-0000A8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801" name="AutoShape 185">
          <a:extLst>
            <a:ext uri="{FF2B5EF4-FFF2-40B4-BE49-F238E27FC236}">
              <a16:creationId xmlns:a16="http://schemas.microsoft.com/office/drawing/2014/main" id="{00000000-0008-0000-0100-0000A9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802" name="AutoShape 186">
          <a:extLst>
            <a:ext uri="{FF2B5EF4-FFF2-40B4-BE49-F238E27FC236}">
              <a16:creationId xmlns:a16="http://schemas.microsoft.com/office/drawing/2014/main" id="{00000000-0008-0000-0100-0000AA16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803" name="AutoShape 187">
          <a:extLst>
            <a:ext uri="{FF2B5EF4-FFF2-40B4-BE49-F238E27FC236}">
              <a16:creationId xmlns:a16="http://schemas.microsoft.com/office/drawing/2014/main" id="{00000000-0008-0000-0100-0000AB16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04" name="AutoShape 80">
          <a:extLst>
            <a:ext uri="{FF2B5EF4-FFF2-40B4-BE49-F238E27FC236}">
              <a16:creationId xmlns:a16="http://schemas.microsoft.com/office/drawing/2014/main" id="{00000000-0008-0000-0100-0000AC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05" name="AutoShape 84">
          <a:extLst>
            <a:ext uri="{FF2B5EF4-FFF2-40B4-BE49-F238E27FC236}">
              <a16:creationId xmlns:a16="http://schemas.microsoft.com/office/drawing/2014/main" id="{00000000-0008-0000-0100-0000AD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06" name="AutoShape 157">
          <a:extLst>
            <a:ext uri="{FF2B5EF4-FFF2-40B4-BE49-F238E27FC236}">
              <a16:creationId xmlns:a16="http://schemas.microsoft.com/office/drawing/2014/main" id="{00000000-0008-0000-0100-0000AE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07" name="AutoShape 158">
          <a:extLst>
            <a:ext uri="{FF2B5EF4-FFF2-40B4-BE49-F238E27FC236}">
              <a16:creationId xmlns:a16="http://schemas.microsoft.com/office/drawing/2014/main" id="{00000000-0008-0000-0100-0000AF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08" name="AutoShape 124">
          <a:extLst>
            <a:ext uri="{FF2B5EF4-FFF2-40B4-BE49-F238E27FC236}">
              <a16:creationId xmlns:a16="http://schemas.microsoft.com/office/drawing/2014/main" id="{00000000-0008-0000-0100-0000B0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809" name="AutoShape 80">
          <a:extLst>
            <a:ext uri="{FF2B5EF4-FFF2-40B4-BE49-F238E27FC236}">
              <a16:creationId xmlns:a16="http://schemas.microsoft.com/office/drawing/2014/main" id="{00000000-0008-0000-0100-0000B1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0" name="AutoShape 84">
          <a:extLst>
            <a:ext uri="{FF2B5EF4-FFF2-40B4-BE49-F238E27FC236}">
              <a16:creationId xmlns:a16="http://schemas.microsoft.com/office/drawing/2014/main" id="{00000000-0008-0000-0100-0000B2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1" name="AutoShape 157">
          <a:extLst>
            <a:ext uri="{FF2B5EF4-FFF2-40B4-BE49-F238E27FC236}">
              <a16:creationId xmlns:a16="http://schemas.microsoft.com/office/drawing/2014/main" id="{00000000-0008-0000-0100-0000B3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2" name="AutoShape 158">
          <a:extLst>
            <a:ext uri="{FF2B5EF4-FFF2-40B4-BE49-F238E27FC236}">
              <a16:creationId xmlns:a16="http://schemas.microsoft.com/office/drawing/2014/main" id="{00000000-0008-0000-0100-0000B4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3" name="AutoShape 249">
          <a:extLst>
            <a:ext uri="{FF2B5EF4-FFF2-40B4-BE49-F238E27FC236}">
              <a16:creationId xmlns:a16="http://schemas.microsoft.com/office/drawing/2014/main" id="{00000000-0008-0000-0100-0000B5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4" name="AutoShape 184">
          <a:extLst>
            <a:ext uri="{FF2B5EF4-FFF2-40B4-BE49-F238E27FC236}">
              <a16:creationId xmlns:a16="http://schemas.microsoft.com/office/drawing/2014/main" id="{00000000-0008-0000-0100-0000B6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5" name="AutoShape 185">
          <a:extLst>
            <a:ext uri="{FF2B5EF4-FFF2-40B4-BE49-F238E27FC236}">
              <a16:creationId xmlns:a16="http://schemas.microsoft.com/office/drawing/2014/main" id="{00000000-0008-0000-0100-0000B7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6" name="AutoShape 186">
          <a:extLst>
            <a:ext uri="{FF2B5EF4-FFF2-40B4-BE49-F238E27FC236}">
              <a16:creationId xmlns:a16="http://schemas.microsoft.com/office/drawing/2014/main" id="{00000000-0008-0000-0100-0000B816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817" name="AutoShape 187">
          <a:extLst>
            <a:ext uri="{FF2B5EF4-FFF2-40B4-BE49-F238E27FC236}">
              <a16:creationId xmlns:a16="http://schemas.microsoft.com/office/drawing/2014/main" id="{00000000-0008-0000-0100-0000B916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18" name="AutoShape 80">
          <a:extLst>
            <a:ext uri="{FF2B5EF4-FFF2-40B4-BE49-F238E27FC236}">
              <a16:creationId xmlns:a16="http://schemas.microsoft.com/office/drawing/2014/main" id="{00000000-0008-0000-0100-0000BA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19" name="AutoShape 84">
          <a:extLst>
            <a:ext uri="{FF2B5EF4-FFF2-40B4-BE49-F238E27FC236}">
              <a16:creationId xmlns:a16="http://schemas.microsoft.com/office/drawing/2014/main" id="{00000000-0008-0000-0100-0000BB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0" name="AutoShape 157">
          <a:extLst>
            <a:ext uri="{FF2B5EF4-FFF2-40B4-BE49-F238E27FC236}">
              <a16:creationId xmlns:a16="http://schemas.microsoft.com/office/drawing/2014/main" id="{00000000-0008-0000-0100-0000BC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1" name="AutoShape 158">
          <a:extLst>
            <a:ext uri="{FF2B5EF4-FFF2-40B4-BE49-F238E27FC236}">
              <a16:creationId xmlns:a16="http://schemas.microsoft.com/office/drawing/2014/main" id="{00000000-0008-0000-0100-0000BD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2" name="AutoShape 124">
          <a:extLst>
            <a:ext uri="{FF2B5EF4-FFF2-40B4-BE49-F238E27FC236}">
              <a16:creationId xmlns:a16="http://schemas.microsoft.com/office/drawing/2014/main" id="{00000000-0008-0000-0100-0000BE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823" name="AutoShape 80">
          <a:extLst>
            <a:ext uri="{FF2B5EF4-FFF2-40B4-BE49-F238E27FC236}">
              <a16:creationId xmlns:a16="http://schemas.microsoft.com/office/drawing/2014/main" id="{00000000-0008-0000-0100-0000BF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4" name="AutoShape 84">
          <a:extLst>
            <a:ext uri="{FF2B5EF4-FFF2-40B4-BE49-F238E27FC236}">
              <a16:creationId xmlns:a16="http://schemas.microsoft.com/office/drawing/2014/main" id="{00000000-0008-0000-0100-0000C0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5" name="AutoShape 157">
          <a:extLst>
            <a:ext uri="{FF2B5EF4-FFF2-40B4-BE49-F238E27FC236}">
              <a16:creationId xmlns:a16="http://schemas.microsoft.com/office/drawing/2014/main" id="{00000000-0008-0000-0100-0000C1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6" name="AutoShape 158">
          <a:extLst>
            <a:ext uri="{FF2B5EF4-FFF2-40B4-BE49-F238E27FC236}">
              <a16:creationId xmlns:a16="http://schemas.microsoft.com/office/drawing/2014/main" id="{00000000-0008-0000-0100-0000C2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7" name="AutoShape 249">
          <a:extLst>
            <a:ext uri="{FF2B5EF4-FFF2-40B4-BE49-F238E27FC236}">
              <a16:creationId xmlns:a16="http://schemas.microsoft.com/office/drawing/2014/main" id="{00000000-0008-0000-0100-0000C3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8" name="AutoShape 184">
          <a:extLst>
            <a:ext uri="{FF2B5EF4-FFF2-40B4-BE49-F238E27FC236}">
              <a16:creationId xmlns:a16="http://schemas.microsoft.com/office/drawing/2014/main" id="{00000000-0008-0000-0100-0000C4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29" name="AutoShape 185">
          <a:extLst>
            <a:ext uri="{FF2B5EF4-FFF2-40B4-BE49-F238E27FC236}">
              <a16:creationId xmlns:a16="http://schemas.microsoft.com/office/drawing/2014/main" id="{00000000-0008-0000-0100-0000C5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0" name="AutoShape 186">
          <a:extLst>
            <a:ext uri="{FF2B5EF4-FFF2-40B4-BE49-F238E27FC236}">
              <a16:creationId xmlns:a16="http://schemas.microsoft.com/office/drawing/2014/main" id="{00000000-0008-0000-0100-0000C6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1" name="AutoShape 187">
          <a:extLst>
            <a:ext uri="{FF2B5EF4-FFF2-40B4-BE49-F238E27FC236}">
              <a16:creationId xmlns:a16="http://schemas.microsoft.com/office/drawing/2014/main" id="{00000000-0008-0000-0100-0000C7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2" name="AutoShape 80">
          <a:extLst>
            <a:ext uri="{FF2B5EF4-FFF2-40B4-BE49-F238E27FC236}">
              <a16:creationId xmlns:a16="http://schemas.microsoft.com/office/drawing/2014/main" id="{00000000-0008-0000-0100-0000C8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3" name="AutoShape 84">
          <a:extLst>
            <a:ext uri="{FF2B5EF4-FFF2-40B4-BE49-F238E27FC236}">
              <a16:creationId xmlns:a16="http://schemas.microsoft.com/office/drawing/2014/main" id="{00000000-0008-0000-0100-0000C9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4" name="AutoShape 157">
          <a:extLst>
            <a:ext uri="{FF2B5EF4-FFF2-40B4-BE49-F238E27FC236}">
              <a16:creationId xmlns:a16="http://schemas.microsoft.com/office/drawing/2014/main" id="{00000000-0008-0000-0100-0000CA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5" name="AutoShape 158">
          <a:extLst>
            <a:ext uri="{FF2B5EF4-FFF2-40B4-BE49-F238E27FC236}">
              <a16:creationId xmlns:a16="http://schemas.microsoft.com/office/drawing/2014/main" id="{00000000-0008-0000-0100-0000CB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6" name="AutoShape 124">
          <a:extLst>
            <a:ext uri="{FF2B5EF4-FFF2-40B4-BE49-F238E27FC236}">
              <a16:creationId xmlns:a16="http://schemas.microsoft.com/office/drawing/2014/main" id="{00000000-0008-0000-0100-0000CC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837" name="AutoShape 80">
          <a:extLst>
            <a:ext uri="{FF2B5EF4-FFF2-40B4-BE49-F238E27FC236}">
              <a16:creationId xmlns:a16="http://schemas.microsoft.com/office/drawing/2014/main" id="{00000000-0008-0000-0100-0000CD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8" name="AutoShape 84">
          <a:extLst>
            <a:ext uri="{FF2B5EF4-FFF2-40B4-BE49-F238E27FC236}">
              <a16:creationId xmlns:a16="http://schemas.microsoft.com/office/drawing/2014/main" id="{00000000-0008-0000-0100-0000CE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39" name="AutoShape 157">
          <a:extLst>
            <a:ext uri="{FF2B5EF4-FFF2-40B4-BE49-F238E27FC236}">
              <a16:creationId xmlns:a16="http://schemas.microsoft.com/office/drawing/2014/main" id="{00000000-0008-0000-0100-0000CF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0" name="AutoShape 158">
          <a:extLst>
            <a:ext uri="{FF2B5EF4-FFF2-40B4-BE49-F238E27FC236}">
              <a16:creationId xmlns:a16="http://schemas.microsoft.com/office/drawing/2014/main" id="{00000000-0008-0000-0100-0000D0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1" name="AutoShape 249">
          <a:extLst>
            <a:ext uri="{FF2B5EF4-FFF2-40B4-BE49-F238E27FC236}">
              <a16:creationId xmlns:a16="http://schemas.microsoft.com/office/drawing/2014/main" id="{00000000-0008-0000-0100-0000D1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2" name="AutoShape 184">
          <a:extLst>
            <a:ext uri="{FF2B5EF4-FFF2-40B4-BE49-F238E27FC236}">
              <a16:creationId xmlns:a16="http://schemas.microsoft.com/office/drawing/2014/main" id="{00000000-0008-0000-0100-0000D2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3" name="AutoShape 185">
          <a:extLst>
            <a:ext uri="{FF2B5EF4-FFF2-40B4-BE49-F238E27FC236}">
              <a16:creationId xmlns:a16="http://schemas.microsoft.com/office/drawing/2014/main" id="{00000000-0008-0000-0100-0000D3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4" name="AutoShape 186">
          <a:extLst>
            <a:ext uri="{FF2B5EF4-FFF2-40B4-BE49-F238E27FC236}">
              <a16:creationId xmlns:a16="http://schemas.microsoft.com/office/drawing/2014/main" id="{00000000-0008-0000-0100-0000D4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5" name="AutoShape 187">
          <a:extLst>
            <a:ext uri="{FF2B5EF4-FFF2-40B4-BE49-F238E27FC236}">
              <a16:creationId xmlns:a16="http://schemas.microsoft.com/office/drawing/2014/main" id="{00000000-0008-0000-0100-0000D5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6" name="AutoShape 80">
          <a:extLst>
            <a:ext uri="{FF2B5EF4-FFF2-40B4-BE49-F238E27FC236}">
              <a16:creationId xmlns:a16="http://schemas.microsoft.com/office/drawing/2014/main" id="{00000000-0008-0000-0100-0000D6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7" name="AutoShape 84">
          <a:extLst>
            <a:ext uri="{FF2B5EF4-FFF2-40B4-BE49-F238E27FC236}">
              <a16:creationId xmlns:a16="http://schemas.microsoft.com/office/drawing/2014/main" id="{00000000-0008-0000-0100-0000D7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8" name="AutoShape 157">
          <a:extLst>
            <a:ext uri="{FF2B5EF4-FFF2-40B4-BE49-F238E27FC236}">
              <a16:creationId xmlns:a16="http://schemas.microsoft.com/office/drawing/2014/main" id="{00000000-0008-0000-0100-0000D8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49" name="AutoShape 158">
          <a:extLst>
            <a:ext uri="{FF2B5EF4-FFF2-40B4-BE49-F238E27FC236}">
              <a16:creationId xmlns:a16="http://schemas.microsoft.com/office/drawing/2014/main" id="{00000000-0008-0000-0100-0000D9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0" name="AutoShape 124">
          <a:extLst>
            <a:ext uri="{FF2B5EF4-FFF2-40B4-BE49-F238E27FC236}">
              <a16:creationId xmlns:a16="http://schemas.microsoft.com/office/drawing/2014/main" id="{00000000-0008-0000-0100-0000DA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20</xdr:col>
      <xdr:colOff>0</xdr:colOff>
      <xdr:row>110</xdr:row>
      <xdr:rowOff>0</xdr:rowOff>
    </xdr:to>
    <xdr:sp macro="" textlink="">
      <xdr:nvSpPr>
        <xdr:cNvPr id="5851" name="AutoShape 80">
          <a:extLst>
            <a:ext uri="{FF2B5EF4-FFF2-40B4-BE49-F238E27FC236}">
              <a16:creationId xmlns:a16="http://schemas.microsoft.com/office/drawing/2014/main" id="{00000000-0008-0000-0100-0000DB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2" name="AutoShape 84">
          <a:extLst>
            <a:ext uri="{FF2B5EF4-FFF2-40B4-BE49-F238E27FC236}">
              <a16:creationId xmlns:a16="http://schemas.microsoft.com/office/drawing/2014/main" id="{00000000-0008-0000-0100-0000DC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3" name="AutoShape 157">
          <a:extLst>
            <a:ext uri="{FF2B5EF4-FFF2-40B4-BE49-F238E27FC236}">
              <a16:creationId xmlns:a16="http://schemas.microsoft.com/office/drawing/2014/main" id="{00000000-0008-0000-0100-0000DD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4" name="AutoShape 158">
          <a:extLst>
            <a:ext uri="{FF2B5EF4-FFF2-40B4-BE49-F238E27FC236}">
              <a16:creationId xmlns:a16="http://schemas.microsoft.com/office/drawing/2014/main" id="{00000000-0008-0000-0100-0000DE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5" name="AutoShape 249">
          <a:extLst>
            <a:ext uri="{FF2B5EF4-FFF2-40B4-BE49-F238E27FC236}">
              <a16:creationId xmlns:a16="http://schemas.microsoft.com/office/drawing/2014/main" id="{00000000-0008-0000-0100-0000DF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6" name="AutoShape 184">
          <a:extLst>
            <a:ext uri="{FF2B5EF4-FFF2-40B4-BE49-F238E27FC236}">
              <a16:creationId xmlns:a16="http://schemas.microsoft.com/office/drawing/2014/main" id="{00000000-0008-0000-0100-0000E0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7" name="AutoShape 185">
          <a:extLst>
            <a:ext uri="{FF2B5EF4-FFF2-40B4-BE49-F238E27FC236}">
              <a16:creationId xmlns:a16="http://schemas.microsoft.com/office/drawing/2014/main" id="{00000000-0008-0000-0100-0000E1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8" name="AutoShape 186">
          <a:extLst>
            <a:ext uri="{FF2B5EF4-FFF2-40B4-BE49-F238E27FC236}">
              <a16:creationId xmlns:a16="http://schemas.microsoft.com/office/drawing/2014/main" id="{00000000-0008-0000-0100-0000E216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110</xdr:row>
      <xdr:rowOff>0</xdr:rowOff>
    </xdr:from>
    <xdr:to>
      <xdr:col>19</xdr:col>
      <xdr:colOff>495300</xdr:colOff>
      <xdr:row>110</xdr:row>
      <xdr:rowOff>0</xdr:rowOff>
    </xdr:to>
    <xdr:sp macro="" textlink="">
      <xdr:nvSpPr>
        <xdr:cNvPr id="5859" name="AutoShape 187">
          <a:extLst>
            <a:ext uri="{FF2B5EF4-FFF2-40B4-BE49-F238E27FC236}">
              <a16:creationId xmlns:a16="http://schemas.microsoft.com/office/drawing/2014/main" id="{00000000-0008-0000-0100-0000E316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0" name="AutoShape 80">
          <a:extLst>
            <a:ext uri="{FF2B5EF4-FFF2-40B4-BE49-F238E27FC236}">
              <a16:creationId xmlns:a16="http://schemas.microsoft.com/office/drawing/2014/main" id="{00000000-0008-0000-0100-0000E4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1" name="AutoShape 84">
          <a:extLst>
            <a:ext uri="{FF2B5EF4-FFF2-40B4-BE49-F238E27FC236}">
              <a16:creationId xmlns:a16="http://schemas.microsoft.com/office/drawing/2014/main" id="{00000000-0008-0000-0100-0000E5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2" name="AutoShape 157">
          <a:extLst>
            <a:ext uri="{FF2B5EF4-FFF2-40B4-BE49-F238E27FC236}">
              <a16:creationId xmlns:a16="http://schemas.microsoft.com/office/drawing/2014/main" id="{00000000-0008-0000-0100-0000E6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3" name="AutoShape 158">
          <a:extLst>
            <a:ext uri="{FF2B5EF4-FFF2-40B4-BE49-F238E27FC236}">
              <a16:creationId xmlns:a16="http://schemas.microsoft.com/office/drawing/2014/main" id="{00000000-0008-0000-0100-0000E7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4" name="AutoShape 124">
          <a:extLst>
            <a:ext uri="{FF2B5EF4-FFF2-40B4-BE49-F238E27FC236}">
              <a16:creationId xmlns:a16="http://schemas.microsoft.com/office/drawing/2014/main" id="{00000000-0008-0000-0100-0000E8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865" name="AutoShape 80">
          <a:extLst>
            <a:ext uri="{FF2B5EF4-FFF2-40B4-BE49-F238E27FC236}">
              <a16:creationId xmlns:a16="http://schemas.microsoft.com/office/drawing/2014/main" id="{00000000-0008-0000-0100-0000E9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6" name="AutoShape 84">
          <a:extLst>
            <a:ext uri="{FF2B5EF4-FFF2-40B4-BE49-F238E27FC236}">
              <a16:creationId xmlns:a16="http://schemas.microsoft.com/office/drawing/2014/main" id="{00000000-0008-0000-0100-0000EA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7" name="AutoShape 157">
          <a:extLst>
            <a:ext uri="{FF2B5EF4-FFF2-40B4-BE49-F238E27FC236}">
              <a16:creationId xmlns:a16="http://schemas.microsoft.com/office/drawing/2014/main" id="{00000000-0008-0000-0100-0000EB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8" name="AutoShape 158">
          <a:extLst>
            <a:ext uri="{FF2B5EF4-FFF2-40B4-BE49-F238E27FC236}">
              <a16:creationId xmlns:a16="http://schemas.microsoft.com/office/drawing/2014/main" id="{00000000-0008-0000-0100-0000EC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69" name="AutoShape 249">
          <a:extLst>
            <a:ext uri="{FF2B5EF4-FFF2-40B4-BE49-F238E27FC236}">
              <a16:creationId xmlns:a16="http://schemas.microsoft.com/office/drawing/2014/main" id="{00000000-0008-0000-0100-0000ED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0" name="AutoShape 184">
          <a:extLst>
            <a:ext uri="{FF2B5EF4-FFF2-40B4-BE49-F238E27FC236}">
              <a16:creationId xmlns:a16="http://schemas.microsoft.com/office/drawing/2014/main" id="{00000000-0008-0000-0100-0000EE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1" name="AutoShape 185">
          <a:extLst>
            <a:ext uri="{FF2B5EF4-FFF2-40B4-BE49-F238E27FC236}">
              <a16:creationId xmlns:a16="http://schemas.microsoft.com/office/drawing/2014/main" id="{00000000-0008-0000-0100-0000EF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2" name="AutoShape 186">
          <a:extLst>
            <a:ext uri="{FF2B5EF4-FFF2-40B4-BE49-F238E27FC236}">
              <a16:creationId xmlns:a16="http://schemas.microsoft.com/office/drawing/2014/main" id="{00000000-0008-0000-0100-0000F0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3" name="AutoShape 187">
          <a:extLst>
            <a:ext uri="{FF2B5EF4-FFF2-40B4-BE49-F238E27FC236}">
              <a16:creationId xmlns:a16="http://schemas.microsoft.com/office/drawing/2014/main" id="{00000000-0008-0000-0100-0000F1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4" name="AutoShape 80">
          <a:extLst>
            <a:ext uri="{FF2B5EF4-FFF2-40B4-BE49-F238E27FC236}">
              <a16:creationId xmlns:a16="http://schemas.microsoft.com/office/drawing/2014/main" id="{00000000-0008-0000-0100-0000F2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5" name="AutoShape 84">
          <a:extLst>
            <a:ext uri="{FF2B5EF4-FFF2-40B4-BE49-F238E27FC236}">
              <a16:creationId xmlns:a16="http://schemas.microsoft.com/office/drawing/2014/main" id="{00000000-0008-0000-0100-0000F3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6" name="AutoShape 157">
          <a:extLst>
            <a:ext uri="{FF2B5EF4-FFF2-40B4-BE49-F238E27FC236}">
              <a16:creationId xmlns:a16="http://schemas.microsoft.com/office/drawing/2014/main" id="{00000000-0008-0000-0100-0000F4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7" name="AutoShape 158">
          <a:extLst>
            <a:ext uri="{FF2B5EF4-FFF2-40B4-BE49-F238E27FC236}">
              <a16:creationId xmlns:a16="http://schemas.microsoft.com/office/drawing/2014/main" id="{00000000-0008-0000-0100-0000F5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78" name="AutoShape 124">
          <a:extLst>
            <a:ext uri="{FF2B5EF4-FFF2-40B4-BE49-F238E27FC236}">
              <a16:creationId xmlns:a16="http://schemas.microsoft.com/office/drawing/2014/main" id="{00000000-0008-0000-0100-0000F6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879" name="AutoShape 80">
          <a:extLst>
            <a:ext uri="{FF2B5EF4-FFF2-40B4-BE49-F238E27FC236}">
              <a16:creationId xmlns:a16="http://schemas.microsoft.com/office/drawing/2014/main" id="{00000000-0008-0000-0100-0000F7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0" name="AutoShape 84">
          <a:extLst>
            <a:ext uri="{FF2B5EF4-FFF2-40B4-BE49-F238E27FC236}">
              <a16:creationId xmlns:a16="http://schemas.microsoft.com/office/drawing/2014/main" id="{00000000-0008-0000-0100-0000F8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1" name="AutoShape 157">
          <a:extLst>
            <a:ext uri="{FF2B5EF4-FFF2-40B4-BE49-F238E27FC236}">
              <a16:creationId xmlns:a16="http://schemas.microsoft.com/office/drawing/2014/main" id="{00000000-0008-0000-0100-0000F9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2" name="AutoShape 158">
          <a:extLst>
            <a:ext uri="{FF2B5EF4-FFF2-40B4-BE49-F238E27FC236}">
              <a16:creationId xmlns:a16="http://schemas.microsoft.com/office/drawing/2014/main" id="{00000000-0008-0000-0100-0000FA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3" name="AutoShape 249">
          <a:extLst>
            <a:ext uri="{FF2B5EF4-FFF2-40B4-BE49-F238E27FC236}">
              <a16:creationId xmlns:a16="http://schemas.microsoft.com/office/drawing/2014/main" id="{00000000-0008-0000-0100-0000FB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4" name="AutoShape 184">
          <a:extLst>
            <a:ext uri="{FF2B5EF4-FFF2-40B4-BE49-F238E27FC236}">
              <a16:creationId xmlns:a16="http://schemas.microsoft.com/office/drawing/2014/main" id="{00000000-0008-0000-0100-0000FC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5" name="AutoShape 185">
          <a:extLst>
            <a:ext uri="{FF2B5EF4-FFF2-40B4-BE49-F238E27FC236}">
              <a16:creationId xmlns:a16="http://schemas.microsoft.com/office/drawing/2014/main" id="{00000000-0008-0000-0100-0000FD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6" name="AutoShape 186">
          <a:extLst>
            <a:ext uri="{FF2B5EF4-FFF2-40B4-BE49-F238E27FC236}">
              <a16:creationId xmlns:a16="http://schemas.microsoft.com/office/drawing/2014/main" id="{00000000-0008-0000-0100-0000FE16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7" name="AutoShape 187">
          <a:extLst>
            <a:ext uri="{FF2B5EF4-FFF2-40B4-BE49-F238E27FC236}">
              <a16:creationId xmlns:a16="http://schemas.microsoft.com/office/drawing/2014/main" id="{00000000-0008-0000-0100-0000FF16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8" name="AutoShape 80">
          <a:extLst>
            <a:ext uri="{FF2B5EF4-FFF2-40B4-BE49-F238E27FC236}">
              <a16:creationId xmlns:a16="http://schemas.microsoft.com/office/drawing/2014/main" id="{00000000-0008-0000-0100-000000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89" name="AutoShape 84">
          <a:extLst>
            <a:ext uri="{FF2B5EF4-FFF2-40B4-BE49-F238E27FC236}">
              <a16:creationId xmlns:a16="http://schemas.microsoft.com/office/drawing/2014/main" id="{00000000-0008-0000-0100-000001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0" name="AutoShape 157">
          <a:extLst>
            <a:ext uri="{FF2B5EF4-FFF2-40B4-BE49-F238E27FC236}">
              <a16:creationId xmlns:a16="http://schemas.microsoft.com/office/drawing/2014/main" id="{00000000-0008-0000-0100-000002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1" name="AutoShape 158">
          <a:extLst>
            <a:ext uri="{FF2B5EF4-FFF2-40B4-BE49-F238E27FC236}">
              <a16:creationId xmlns:a16="http://schemas.microsoft.com/office/drawing/2014/main" id="{00000000-0008-0000-0100-000003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2" name="AutoShape 124">
          <a:extLst>
            <a:ext uri="{FF2B5EF4-FFF2-40B4-BE49-F238E27FC236}">
              <a16:creationId xmlns:a16="http://schemas.microsoft.com/office/drawing/2014/main" id="{00000000-0008-0000-0100-000004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20</xdr:col>
      <xdr:colOff>0</xdr:colOff>
      <xdr:row>117</xdr:row>
      <xdr:rowOff>0</xdr:rowOff>
    </xdr:to>
    <xdr:sp macro="" textlink="">
      <xdr:nvSpPr>
        <xdr:cNvPr id="5893" name="AutoShape 80">
          <a:extLst>
            <a:ext uri="{FF2B5EF4-FFF2-40B4-BE49-F238E27FC236}">
              <a16:creationId xmlns:a16="http://schemas.microsoft.com/office/drawing/2014/main" id="{00000000-0008-0000-0100-000005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4" name="AutoShape 84">
          <a:extLst>
            <a:ext uri="{FF2B5EF4-FFF2-40B4-BE49-F238E27FC236}">
              <a16:creationId xmlns:a16="http://schemas.microsoft.com/office/drawing/2014/main" id="{00000000-0008-0000-0100-000006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5" name="AutoShape 157">
          <a:extLst>
            <a:ext uri="{FF2B5EF4-FFF2-40B4-BE49-F238E27FC236}">
              <a16:creationId xmlns:a16="http://schemas.microsoft.com/office/drawing/2014/main" id="{00000000-0008-0000-0100-000007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6" name="AutoShape 158">
          <a:extLst>
            <a:ext uri="{FF2B5EF4-FFF2-40B4-BE49-F238E27FC236}">
              <a16:creationId xmlns:a16="http://schemas.microsoft.com/office/drawing/2014/main" id="{00000000-0008-0000-0100-000008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7" name="AutoShape 249">
          <a:extLst>
            <a:ext uri="{FF2B5EF4-FFF2-40B4-BE49-F238E27FC236}">
              <a16:creationId xmlns:a16="http://schemas.microsoft.com/office/drawing/2014/main" id="{00000000-0008-0000-0100-000009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8" name="AutoShape 184">
          <a:extLst>
            <a:ext uri="{FF2B5EF4-FFF2-40B4-BE49-F238E27FC236}">
              <a16:creationId xmlns:a16="http://schemas.microsoft.com/office/drawing/2014/main" id="{00000000-0008-0000-0100-00000A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899" name="AutoShape 185">
          <a:extLst>
            <a:ext uri="{FF2B5EF4-FFF2-40B4-BE49-F238E27FC236}">
              <a16:creationId xmlns:a16="http://schemas.microsoft.com/office/drawing/2014/main" id="{00000000-0008-0000-0100-00000B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900" name="AutoShape 186">
          <a:extLst>
            <a:ext uri="{FF2B5EF4-FFF2-40B4-BE49-F238E27FC236}">
              <a16:creationId xmlns:a16="http://schemas.microsoft.com/office/drawing/2014/main" id="{00000000-0008-0000-0100-00000C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117</xdr:row>
      <xdr:rowOff>0</xdr:rowOff>
    </xdr:from>
    <xdr:to>
      <xdr:col>19</xdr:col>
      <xdr:colOff>495300</xdr:colOff>
      <xdr:row>117</xdr:row>
      <xdr:rowOff>0</xdr:rowOff>
    </xdr:to>
    <xdr:sp macro="" textlink="">
      <xdr:nvSpPr>
        <xdr:cNvPr id="5901" name="AutoShape 187">
          <a:extLst>
            <a:ext uri="{FF2B5EF4-FFF2-40B4-BE49-F238E27FC236}">
              <a16:creationId xmlns:a16="http://schemas.microsoft.com/office/drawing/2014/main" id="{00000000-0008-0000-0100-00000D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2" name="AutoShape 80">
          <a:extLst>
            <a:ext uri="{FF2B5EF4-FFF2-40B4-BE49-F238E27FC236}">
              <a16:creationId xmlns:a16="http://schemas.microsoft.com/office/drawing/2014/main" id="{00000000-0008-0000-0100-00000E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3" name="AutoShape 84">
          <a:extLst>
            <a:ext uri="{FF2B5EF4-FFF2-40B4-BE49-F238E27FC236}">
              <a16:creationId xmlns:a16="http://schemas.microsoft.com/office/drawing/2014/main" id="{00000000-0008-0000-0100-00000F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4" name="AutoShape 157">
          <a:extLst>
            <a:ext uri="{FF2B5EF4-FFF2-40B4-BE49-F238E27FC236}">
              <a16:creationId xmlns:a16="http://schemas.microsoft.com/office/drawing/2014/main" id="{00000000-0008-0000-0100-000010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5" name="AutoShape 158">
          <a:extLst>
            <a:ext uri="{FF2B5EF4-FFF2-40B4-BE49-F238E27FC236}">
              <a16:creationId xmlns:a16="http://schemas.microsoft.com/office/drawing/2014/main" id="{00000000-0008-0000-0100-000011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6" name="AutoShape 124">
          <a:extLst>
            <a:ext uri="{FF2B5EF4-FFF2-40B4-BE49-F238E27FC236}">
              <a16:creationId xmlns:a16="http://schemas.microsoft.com/office/drawing/2014/main" id="{00000000-0008-0000-0100-000012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907" name="AutoShape 80">
          <a:extLst>
            <a:ext uri="{FF2B5EF4-FFF2-40B4-BE49-F238E27FC236}">
              <a16:creationId xmlns:a16="http://schemas.microsoft.com/office/drawing/2014/main" id="{00000000-0008-0000-0100-000013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8" name="AutoShape 84">
          <a:extLst>
            <a:ext uri="{FF2B5EF4-FFF2-40B4-BE49-F238E27FC236}">
              <a16:creationId xmlns:a16="http://schemas.microsoft.com/office/drawing/2014/main" id="{00000000-0008-0000-0100-000014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09" name="AutoShape 157">
          <a:extLst>
            <a:ext uri="{FF2B5EF4-FFF2-40B4-BE49-F238E27FC236}">
              <a16:creationId xmlns:a16="http://schemas.microsoft.com/office/drawing/2014/main" id="{00000000-0008-0000-0100-000015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0" name="AutoShape 158">
          <a:extLst>
            <a:ext uri="{FF2B5EF4-FFF2-40B4-BE49-F238E27FC236}">
              <a16:creationId xmlns:a16="http://schemas.microsoft.com/office/drawing/2014/main" id="{00000000-0008-0000-0100-000016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1" name="AutoShape 249">
          <a:extLst>
            <a:ext uri="{FF2B5EF4-FFF2-40B4-BE49-F238E27FC236}">
              <a16:creationId xmlns:a16="http://schemas.microsoft.com/office/drawing/2014/main" id="{00000000-0008-0000-0100-000017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2" name="AutoShape 184">
          <a:extLst>
            <a:ext uri="{FF2B5EF4-FFF2-40B4-BE49-F238E27FC236}">
              <a16:creationId xmlns:a16="http://schemas.microsoft.com/office/drawing/2014/main" id="{00000000-0008-0000-0100-000018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3" name="AutoShape 185">
          <a:extLst>
            <a:ext uri="{FF2B5EF4-FFF2-40B4-BE49-F238E27FC236}">
              <a16:creationId xmlns:a16="http://schemas.microsoft.com/office/drawing/2014/main" id="{00000000-0008-0000-0100-000019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4" name="AutoShape 186">
          <a:extLst>
            <a:ext uri="{FF2B5EF4-FFF2-40B4-BE49-F238E27FC236}">
              <a16:creationId xmlns:a16="http://schemas.microsoft.com/office/drawing/2014/main" id="{00000000-0008-0000-0100-00001A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5" name="AutoShape 187">
          <a:extLst>
            <a:ext uri="{FF2B5EF4-FFF2-40B4-BE49-F238E27FC236}">
              <a16:creationId xmlns:a16="http://schemas.microsoft.com/office/drawing/2014/main" id="{00000000-0008-0000-0100-00001B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6" name="AutoShape 80">
          <a:extLst>
            <a:ext uri="{FF2B5EF4-FFF2-40B4-BE49-F238E27FC236}">
              <a16:creationId xmlns:a16="http://schemas.microsoft.com/office/drawing/2014/main" id="{00000000-0008-0000-0100-00001C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7" name="AutoShape 84">
          <a:extLst>
            <a:ext uri="{FF2B5EF4-FFF2-40B4-BE49-F238E27FC236}">
              <a16:creationId xmlns:a16="http://schemas.microsoft.com/office/drawing/2014/main" id="{00000000-0008-0000-0100-00001D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8" name="AutoShape 157">
          <a:extLst>
            <a:ext uri="{FF2B5EF4-FFF2-40B4-BE49-F238E27FC236}">
              <a16:creationId xmlns:a16="http://schemas.microsoft.com/office/drawing/2014/main" id="{00000000-0008-0000-0100-00001E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19" name="AutoShape 158">
          <a:extLst>
            <a:ext uri="{FF2B5EF4-FFF2-40B4-BE49-F238E27FC236}">
              <a16:creationId xmlns:a16="http://schemas.microsoft.com/office/drawing/2014/main" id="{00000000-0008-0000-0100-00001F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0" name="AutoShape 124">
          <a:extLst>
            <a:ext uri="{FF2B5EF4-FFF2-40B4-BE49-F238E27FC236}">
              <a16:creationId xmlns:a16="http://schemas.microsoft.com/office/drawing/2014/main" id="{00000000-0008-0000-0100-000020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921" name="AutoShape 80">
          <a:extLst>
            <a:ext uri="{FF2B5EF4-FFF2-40B4-BE49-F238E27FC236}">
              <a16:creationId xmlns:a16="http://schemas.microsoft.com/office/drawing/2014/main" id="{00000000-0008-0000-0100-000021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2" name="AutoShape 84">
          <a:extLst>
            <a:ext uri="{FF2B5EF4-FFF2-40B4-BE49-F238E27FC236}">
              <a16:creationId xmlns:a16="http://schemas.microsoft.com/office/drawing/2014/main" id="{00000000-0008-0000-0100-000022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3" name="AutoShape 157">
          <a:extLst>
            <a:ext uri="{FF2B5EF4-FFF2-40B4-BE49-F238E27FC236}">
              <a16:creationId xmlns:a16="http://schemas.microsoft.com/office/drawing/2014/main" id="{00000000-0008-0000-0100-000023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4" name="AutoShape 158">
          <a:extLst>
            <a:ext uri="{FF2B5EF4-FFF2-40B4-BE49-F238E27FC236}">
              <a16:creationId xmlns:a16="http://schemas.microsoft.com/office/drawing/2014/main" id="{00000000-0008-0000-0100-000024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5" name="AutoShape 249">
          <a:extLst>
            <a:ext uri="{FF2B5EF4-FFF2-40B4-BE49-F238E27FC236}">
              <a16:creationId xmlns:a16="http://schemas.microsoft.com/office/drawing/2014/main" id="{00000000-0008-0000-0100-000025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6" name="AutoShape 184">
          <a:extLst>
            <a:ext uri="{FF2B5EF4-FFF2-40B4-BE49-F238E27FC236}">
              <a16:creationId xmlns:a16="http://schemas.microsoft.com/office/drawing/2014/main" id="{00000000-0008-0000-0100-000026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7" name="AutoShape 185">
          <a:extLst>
            <a:ext uri="{FF2B5EF4-FFF2-40B4-BE49-F238E27FC236}">
              <a16:creationId xmlns:a16="http://schemas.microsoft.com/office/drawing/2014/main" id="{00000000-0008-0000-0100-000027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8" name="AutoShape 186">
          <a:extLst>
            <a:ext uri="{FF2B5EF4-FFF2-40B4-BE49-F238E27FC236}">
              <a16:creationId xmlns:a16="http://schemas.microsoft.com/office/drawing/2014/main" id="{00000000-0008-0000-0100-000028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29" name="AutoShape 187">
          <a:extLst>
            <a:ext uri="{FF2B5EF4-FFF2-40B4-BE49-F238E27FC236}">
              <a16:creationId xmlns:a16="http://schemas.microsoft.com/office/drawing/2014/main" id="{00000000-0008-0000-0100-000029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0" name="AutoShape 80">
          <a:extLst>
            <a:ext uri="{FF2B5EF4-FFF2-40B4-BE49-F238E27FC236}">
              <a16:creationId xmlns:a16="http://schemas.microsoft.com/office/drawing/2014/main" id="{00000000-0008-0000-0100-00002A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1" name="AutoShape 84">
          <a:extLst>
            <a:ext uri="{FF2B5EF4-FFF2-40B4-BE49-F238E27FC236}">
              <a16:creationId xmlns:a16="http://schemas.microsoft.com/office/drawing/2014/main" id="{00000000-0008-0000-0100-00002B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2" name="AutoShape 157">
          <a:extLst>
            <a:ext uri="{FF2B5EF4-FFF2-40B4-BE49-F238E27FC236}">
              <a16:creationId xmlns:a16="http://schemas.microsoft.com/office/drawing/2014/main" id="{00000000-0008-0000-0100-00002C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3" name="AutoShape 158">
          <a:extLst>
            <a:ext uri="{FF2B5EF4-FFF2-40B4-BE49-F238E27FC236}">
              <a16:creationId xmlns:a16="http://schemas.microsoft.com/office/drawing/2014/main" id="{00000000-0008-0000-0100-00002D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4" name="AutoShape 124">
          <a:extLst>
            <a:ext uri="{FF2B5EF4-FFF2-40B4-BE49-F238E27FC236}">
              <a16:creationId xmlns:a16="http://schemas.microsoft.com/office/drawing/2014/main" id="{00000000-0008-0000-0100-00002E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5935" name="AutoShape 80">
          <a:extLst>
            <a:ext uri="{FF2B5EF4-FFF2-40B4-BE49-F238E27FC236}">
              <a16:creationId xmlns:a16="http://schemas.microsoft.com/office/drawing/2014/main" id="{00000000-0008-0000-0100-00002F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6" name="AutoShape 84">
          <a:extLst>
            <a:ext uri="{FF2B5EF4-FFF2-40B4-BE49-F238E27FC236}">
              <a16:creationId xmlns:a16="http://schemas.microsoft.com/office/drawing/2014/main" id="{00000000-0008-0000-0100-000030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7" name="AutoShape 157">
          <a:extLst>
            <a:ext uri="{FF2B5EF4-FFF2-40B4-BE49-F238E27FC236}">
              <a16:creationId xmlns:a16="http://schemas.microsoft.com/office/drawing/2014/main" id="{00000000-0008-0000-0100-000031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8" name="AutoShape 158">
          <a:extLst>
            <a:ext uri="{FF2B5EF4-FFF2-40B4-BE49-F238E27FC236}">
              <a16:creationId xmlns:a16="http://schemas.microsoft.com/office/drawing/2014/main" id="{00000000-0008-0000-0100-000032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39" name="AutoShape 249">
          <a:extLst>
            <a:ext uri="{FF2B5EF4-FFF2-40B4-BE49-F238E27FC236}">
              <a16:creationId xmlns:a16="http://schemas.microsoft.com/office/drawing/2014/main" id="{00000000-0008-0000-0100-000033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40" name="AutoShape 184">
          <a:extLst>
            <a:ext uri="{FF2B5EF4-FFF2-40B4-BE49-F238E27FC236}">
              <a16:creationId xmlns:a16="http://schemas.microsoft.com/office/drawing/2014/main" id="{00000000-0008-0000-0100-000034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41" name="AutoShape 185">
          <a:extLst>
            <a:ext uri="{FF2B5EF4-FFF2-40B4-BE49-F238E27FC236}">
              <a16:creationId xmlns:a16="http://schemas.microsoft.com/office/drawing/2014/main" id="{00000000-0008-0000-0100-000035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42" name="AutoShape 186">
          <a:extLst>
            <a:ext uri="{FF2B5EF4-FFF2-40B4-BE49-F238E27FC236}">
              <a16:creationId xmlns:a16="http://schemas.microsoft.com/office/drawing/2014/main" id="{00000000-0008-0000-0100-000036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124</xdr:row>
      <xdr:rowOff>0</xdr:rowOff>
    </xdr:from>
    <xdr:to>
      <xdr:col>19</xdr:col>
      <xdr:colOff>495300</xdr:colOff>
      <xdr:row>124</xdr:row>
      <xdr:rowOff>0</xdr:rowOff>
    </xdr:to>
    <xdr:sp macro="" textlink="">
      <xdr:nvSpPr>
        <xdr:cNvPr id="5943" name="AutoShape 187">
          <a:extLst>
            <a:ext uri="{FF2B5EF4-FFF2-40B4-BE49-F238E27FC236}">
              <a16:creationId xmlns:a16="http://schemas.microsoft.com/office/drawing/2014/main" id="{00000000-0008-0000-0100-000037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44" name="AutoShape 80">
          <a:extLst>
            <a:ext uri="{FF2B5EF4-FFF2-40B4-BE49-F238E27FC236}">
              <a16:creationId xmlns:a16="http://schemas.microsoft.com/office/drawing/2014/main" id="{00000000-0008-0000-0100-000038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45" name="AutoShape 84">
          <a:extLst>
            <a:ext uri="{FF2B5EF4-FFF2-40B4-BE49-F238E27FC236}">
              <a16:creationId xmlns:a16="http://schemas.microsoft.com/office/drawing/2014/main" id="{00000000-0008-0000-0100-000039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46" name="AutoShape 157">
          <a:extLst>
            <a:ext uri="{FF2B5EF4-FFF2-40B4-BE49-F238E27FC236}">
              <a16:creationId xmlns:a16="http://schemas.microsoft.com/office/drawing/2014/main" id="{00000000-0008-0000-0100-00003A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47" name="AutoShape 158">
          <a:extLst>
            <a:ext uri="{FF2B5EF4-FFF2-40B4-BE49-F238E27FC236}">
              <a16:creationId xmlns:a16="http://schemas.microsoft.com/office/drawing/2014/main" id="{00000000-0008-0000-0100-00003B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48" name="AutoShape 124">
          <a:extLst>
            <a:ext uri="{FF2B5EF4-FFF2-40B4-BE49-F238E27FC236}">
              <a16:creationId xmlns:a16="http://schemas.microsoft.com/office/drawing/2014/main" id="{00000000-0008-0000-0100-00003C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949" name="AutoShape 80">
          <a:extLst>
            <a:ext uri="{FF2B5EF4-FFF2-40B4-BE49-F238E27FC236}">
              <a16:creationId xmlns:a16="http://schemas.microsoft.com/office/drawing/2014/main" id="{00000000-0008-0000-0100-00003D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0" name="AutoShape 84">
          <a:extLst>
            <a:ext uri="{FF2B5EF4-FFF2-40B4-BE49-F238E27FC236}">
              <a16:creationId xmlns:a16="http://schemas.microsoft.com/office/drawing/2014/main" id="{00000000-0008-0000-0100-00003E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1" name="AutoShape 157">
          <a:extLst>
            <a:ext uri="{FF2B5EF4-FFF2-40B4-BE49-F238E27FC236}">
              <a16:creationId xmlns:a16="http://schemas.microsoft.com/office/drawing/2014/main" id="{00000000-0008-0000-0100-00003F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2" name="AutoShape 158">
          <a:extLst>
            <a:ext uri="{FF2B5EF4-FFF2-40B4-BE49-F238E27FC236}">
              <a16:creationId xmlns:a16="http://schemas.microsoft.com/office/drawing/2014/main" id="{00000000-0008-0000-0100-000040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3" name="AutoShape 249">
          <a:extLst>
            <a:ext uri="{FF2B5EF4-FFF2-40B4-BE49-F238E27FC236}">
              <a16:creationId xmlns:a16="http://schemas.microsoft.com/office/drawing/2014/main" id="{00000000-0008-0000-0100-000041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4" name="AutoShape 184">
          <a:extLst>
            <a:ext uri="{FF2B5EF4-FFF2-40B4-BE49-F238E27FC236}">
              <a16:creationId xmlns:a16="http://schemas.microsoft.com/office/drawing/2014/main" id="{00000000-0008-0000-0100-000042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5" name="AutoShape 185">
          <a:extLst>
            <a:ext uri="{FF2B5EF4-FFF2-40B4-BE49-F238E27FC236}">
              <a16:creationId xmlns:a16="http://schemas.microsoft.com/office/drawing/2014/main" id="{00000000-0008-0000-0100-000043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6" name="AutoShape 186">
          <a:extLst>
            <a:ext uri="{FF2B5EF4-FFF2-40B4-BE49-F238E27FC236}">
              <a16:creationId xmlns:a16="http://schemas.microsoft.com/office/drawing/2014/main" id="{00000000-0008-0000-0100-000044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7" name="AutoShape 187">
          <a:extLst>
            <a:ext uri="{FF2B5EF4-FFF2-40B4-BE49-F238E27FC236}">
              <a16:creationId xmlns:a16="http://schemas.microsoft.com/office/drawing/2014/main" id="{00000000-0008-0000-0100-000045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8" name="AutoShape 80">
          <a:extLst>
            <a:ext uri="{FF2B5EF4-FFF2-40B4-BE49-F238E27FC236}">
              <a16:creationId xmlns:a16="http://schemas.microsoft.com/office/drawing/2014/main" id="{00000000-0008-0000-0100-000046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59" name="AutoShape 84">
          <a:extLst>
            <a:ext uri="{FF2B5EF4-FFF2-40B4-BE49-F238E27FC236}">
              <a16:creationId xmlns:a16="http://schemas.microsoft.com/office/drawing/2014/main" id="{00000000-0008-0000-0100-000047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0" name="AutoShape 157">
          <a:extLst>
            <a:ext uri="{FF2B5EF4-FFF2-40B4-BE49-F238E27FC236}">
              <a16:creationId xmlns:a16="http://schemas.microsoft.com/office/drawing/2014/main" id="{00000000-0008-0000-0100-000048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1" name="AutoShape 158">
          <a:extLst>
            <a:ext uri="{FF2B5EF4-FFF2-40B4-BE49-F238E27FC236}">
              <a16:creationId xmlns:a16="http://schemas.microsoft.com/office/drawing/2014/main" id="{00000000-0008-0000-0100-000049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2" name="AutoShape 124">
          <a:extLst>
            <a:ext uri="{FF2B5EF4-FFF2-40B4-BE49-F238E27FC236}">
              <a16:creationId xmlns:a16="http://schemas.microsoft.com/office/drawing/2014/main" id="{00000000-0008-0000-0100-00004A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963" name="AutoShape 80">
          <a:extLst>
            <a:ext uri="{FF2B5EF4-FFF2-40B4-BE49-F238E27FC236}">
              <a16:creationId xmlns:a16="http://schemas.microsoft.com/office/drawing/2014/main" id="{00000000-0008-0000-0100-00004B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4" name="AutoShape 84">
          <a:extLst>
            <a:ext uri="{FF2B5EF4-FFF2-40B4-BE49-F238E27FC236}">
              <a16:creationId xmlns:a16="http://schemas.microsoft.com/office/drawing/2014/main" id="{00000000-0008-0000-0100-00004C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5" name="AutoShape 157">
          <a:extLst>
            <a:ext uri="{FF2B5EF4-FFF2-40B4-BE49-F238E27FC236}">
              <a16:creationId xmlns:a16="http://schemas.microsoft.com/office/drawing/2014/main" id="{00000000-0008-0000-0100-00004D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6" name="AutoShape 158">
          <a:extLst>
            <a:ext uri="{FF2B5EF4-FFF2-40B4-BE49-F238E27FC236}">
              <a16:creationId xmlns:a16="http://schemas.microsoft.com/office/drawing/2014/main" id="{00000000-0008-0000-0100-00004E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7" name="AutoShape 249">
          <a:extLst>
            <a:ext uri="{FF2B5EF4-FFF2-40B4-BE49-F238E27FC236}">
              <a16:creationId xmlns:a16="http://schemas.microsoft.com/office/drawing/2014/main" id="{00000000-0008-0000-0100-00004F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8" name="AutoShape 184">
          <a:extLst>
            <a:ext uri="{FF2B5EF4-FFF2-40B4-BE49-F238E27FC236}">
              <a16:creationId xmlns:a16="http://schemas.microsoft.com/office/drawing/2014/main" id="{00000000-0008-0000-0100-000050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69" name="AutoShape 185">
          <a:extLst>
            <a:ext uri="{FF2B5EF4-FFF2-40B4-BE49-F238E27FC236}">
              <a16:creationId xmlns:a16="http://schemas.microsoft.com/office/drawing/2014/main" id="{00000000-0008-0000-0100-000051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0" name="AutoShape 186">
          <a:extLst>
            <a:ext uri="{FF2B5EF4-FFF2-40B4-BE49-F238E27FC236}">
              <a16:creationId xmlns:a16="http://schemas.microsoft.com/office/drawing/2014/main" id="{00000000-0008-0000-0100-000052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1" name="AutoShape 187">
          <a:extLst>
            <a:ext uri="{FF2B5EF4-FFF2-40B4-BE49-F238E27FC236}">
              <a16:creationId xmlns:a16="http://schemas.microsoft.com/office/drawing/2014/main" id="{00000000-0008-0000-0100-000053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2" name="AutoShape 80">
          <a:extLst>
            <a:ext uri="{FF2B5EF4-FFF2-40B4-BE49-F238E27FC236}">
              <a16:creationId xmlns:a16="http://schemas.microsoft.com/office/drawing/2014/main" id="{00000000-0008-0000-0100-000054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3" name="AutoShape 84">
          <a:extLst>
            <a:ext uri="{FF2B5EF4-FFF2-40B4-BE49-F238E27FC236}">
              <a16:creationId xmlns:a16="http://schemas.microsoft.com/office/drawing/2014/main" id="{00000000-0008-0000-0100-000055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4" name="AutoShape 157">
          <a:extLst>
            <a:ext uri="{FF2B5EF4-FFF2-40B4-BE49-F238E27FC236}">
              <a16:creationId xmlns:a16="http://schemas.microsoft.com/office/drawing/2014/main" id="{00000000-0008-0000-0100-000056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5" name="AutoShape 158">
          <a:extLst>
            <a:ext uri="{FF2B5EF4-FFF2-40B4-BE49-F238E27FC236}">
              <a16:creationId xmlns:a16="http://schemas.microsoft.com/office/drawing/2014/main" id="{00000000-0008-0000-0100-000057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6" name="AutoShape 124">
          <a:extLst>
            <a:ext uri="{FF2B5EF4-FFF2-40B4-BE49-F238E27FC236}">
              <a16:creationId xmlns:a16="http://schemas.microsoft.com/office/drawing/2014/main" id="{00000000-0008-0000-0100-000058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5977" name="AutoShape 80">
          <a:extLst>
            <a:ext uri="{FF2B5EF4-FFF2-40B4-BE49-F238E27FC236}">
              <a16:creationId xmlns:a16="http://schemas.microsoft.com/office/drawing/2014/main" id="{00000000-0008-0000-0100-000059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8" name="AutoShape 84">
          <a:extLst>
            <a:ext uri="{FF2B5EF4-FFF2-40B4-BE49-F238E27FC236}">
              <a16:creationId xmlns:a16="http://schemas.microsoft.com/office/drawing/2014/main" id="{00000000-0008-0000-0100-00005A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79" name="AutoShape 157">
          <a:extLst>
            <a:ext uri="{FF2B5EF4-FFF2-40B4-BE49-F238E27FC236}">
              <a16:creationId xmlns:a16="http://schemas.microsoft.com/office/drawing/2014/main" id="{00000000-0008-0000-0100-00005B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0" name="AutoShape 158">
          <a:extLst>
            <a:ext uri="{FF2B5EF4-FFF2-40B4-BE49-F238E27FC236}">
              <a16:creationId xmlns:a16="http://schemas.microsoft.com/office/drawing/2014/main" id="{00000000-0008-0000-0100-00005C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1" name="AutoShape 249">
          <a:extLst>
            <a:ext uri="{FF2B5EF4-FFF2-40B4-BE49-F238E27FC236}">
              <a16:creationId xmlns:a16="http://schemas.microsoft.com/office/drawing/2014/main" id="{00000000-0008-0000-0100-00005D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2" name="AutoShape 184">
          <a:extLst>
            <a:ext uri="{FF2B5EF4-FFF2-40B4-BE49-F238E27FC236}">
              <a16:creationId xmlns:a16="http://schemas.microsoft.com/office/drawing/2014/main" id="{00000000-0008-0000-0100-00005E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3" name="AutoShape 185">
          <a:extLst>
            <a:ext uri="{FF2B5EF4-FFF2-40B4-BE49-F238E27FC236}">
              <a16:creationId xmlns:a16="http://schemas.microsoft.com/office/drawing/2014/main" id="{00000000-0008-0000-0100-00005F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4" name="AutoShape 186">
          <a:extLst>
            <a:ext uri="{FF2B5EF4-FFF2-40B4-BE49-F238E27FC236}">
              <a16:creationId xmlns:a16="http://schemas.microsoft.com/office/drawing/2014/main" id="{00000000-0008-0000-0100-000060170000}"/>
            </a:ext>
          </a:extLst>
        </xdr:cNvPr>
        <xdr:cNvSpPr>
          <a:spLocks noChangeArrowheads="1"/>
        </xdr:cNvSpPr>
      </xdr:nvSpPr>
      <xdr:spPr>
        <a:xfrm>
          <a:off x="9204512" y="762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985" name="AutoShape 187">
          <a:extLst>
            <a:ext uri="{FF2B5EF4-FFF2-40B4-BE49-F238E27FC236}">
              <a16:creationId xmlns:a16="http://schemas.microsoft.com/office/drawing/2014/main" id="{00000000-0008-0000-0100-000061170000}"/>
            </a:ext>
          </a:extLst>
        </xdr:cNvPr>
        <xdr:cNvSpPr>
          <a:spLocks noChangeArrowheads="1"/>
        </xdr:cNvSpPr>
      </xdr:nvSpPr>
      <xdr:spPr>
        <a:xfrm>
          <a:off x="9185462" y="762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86" name="AutoShape 80">
          <a:extLst>
            <a:ext uri="{FF2B5EF4-FFF2-40B4-BE49-F238E27FC236}">
              <a16:creationId xmlns:a16="http://schemas.microsoft.com/office/drawing/2014/main" id="{00000000-0008-0000-0100-000062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87" name="AutoShape 84">
          <a:extLst>
            <a:ext uri="{FF2B5EF4-FFF2-40B4-BE49-F238E27FC236}">
              <a16:creationId xmlns:a16="http://schemas.microsoft.com/office/drawing/2014/main" id="{00000000-0008-0000-0100-000063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88" name="AutoShape 157">
          <a:extLst>
            <a:ext uri="{FF2B5EF4-FFF2-40B4-BE49-F238E27FC236}">
              <a16:creationId xmlns:a16="http://schemas.microsoft.com/office/drawing/2014/main" id="{00000000-0008-0000-0100-000064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89" name="AutoShape 158">
          <a:extLst>
            <a:ext uri="{FF2B5EF4-FFF2-40B4-BE49-F238E27FC236}">
              <a16:creationId xmlns:a16="http://schemas.microsoft.com/office/drawing/2014/main" id="{00000000-0008-0000-0100-000065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0" name="AutoShape 124">
          <a:extLst>
            <a:ext uri="{FF2B5EF4-FFF2-40B4-BE49-F238E27FC236}">
              <a16:creationId xmlns:a16="http://schemas.microsoft.com/office/drawing/2014/main" id="{00000000-0008-0000-0100-000066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5991" name="AutoShape 80">
          <a:extLst>
            <a:ext uri="{FF2B5EF4-FFF2-40B4-BE49-F238E27FC236}">
              <a16:creationId xmlns:a16="http://schemas.microsoft.com/office/drawing/2014/main" id="{00000000-0008-0000-0100-000067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2" name="AutoShape 84">
          <a:extLst>
            <a:ext uri="{FF2B5EF4-FFF2-40B4-BE49-F238E27FC236}">
              <a16:creationId xmlns:a16="http://schemas.microsoft.com/office/drawing/2014/main" id="{00000000-0008-0000-0100-000068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3" name="AutoShape 157">
          <a:extLst>
            <a:ext uri="{FF2B5EF4-FFF2-40B4-BE49-F238E27FC236}">
              <a16:creationId xmlns:a16="http://schemas.microsoft.com/office/drawing/2014/main" id="{00000000-0008-0000-0100-000069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4" name="AutoShape 158">
          <a:extLst>
            <a:ext uri="{FF2B5EF4-FFF2-40B4-BE49-F238E27FC236}">
              <a16:creationId xmlns:a16="http://schemas.microsoft.com/office/drawing/2014/main" id="{00000000-0008-0000-0100-00006A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5" name="AutoShape 249">
          <a:extLst>
            <a:ext uri="{FF2B5EF4-FFF2-40B4-BE49-F238E27FC236}">
              <a16:creationId xmlns:a16="http://schemas.microsoft.com/office/drawing/2014/main" id="{00000000-0008-0000-0100-00006B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6" name="AutoShape 184">
          <a:extLst>
            <a:ext uri="{FF2B5EF4-FFF2-40B4-BE49-F238E27FC236}">
              <a16:creationId xmlns:a16="http://schemas.microsoft.com/office/drawing/2014/main" id="{00000000-0008-0000-0100-00006C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7" name="AutoShape 185">
          <a:extLst>
            <a:ext uri="{FF2B5EF4-FFF2-40B4-BE49-F238E27FC236}">
              <a16:creationId xmlns:a16="http://schemas.microsoft.com/office/drawing/2014/main" id="{00000000-0008-0000-0100-00006D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8" name="AutoShape 186">
          <a:extLst>
            <a:ext uri="{FF2B5EF4-FFF2-40B4-BE49-F238E27FC236}">
              <a16:creationId xmlns:a16="http://schemas.microsoft.com/office/drawing/2014/main" id="{00000000-0008-0000-0100-00006E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5999" name="AutoShape 187">
          <a:extLst>
            <a:ext uri="{FF2B5EF4-FFF2-40B4-BE49-F238E27FC236}">
              <a16:creationId xmlns:a16="http://schemas.microsoft.com/office/drawing/2014/main" id="{00000000-0008-0000-0100-00006F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0" name="AutoShape 80">
          <a:extLst>
            <a:ext uri="{FF2B5EF4-FFF2-40B4-BE49-F238E27FC236}">
              <a16:creationId xmlns:a16="http://schemas.microsoft.com/office/drawing/2014/main" id="{00000000-0008-0000-0100-000070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1" name="AutoShape 84">
          <a:extLst>
            <a:ext uri="{FF2B5EF4-FFF2-40B4-BE49-F238E27FC236}">
              <a16:creationId xmlns:a16="http://schemas.microsoft.com/office/drawing/2014/main" id="{00000000-0008-0000-0100-000071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2" name="AutoShape 157">
          <a:extLst>
            <a:ext uri="{FF2B5EF4-FFF2-40B4-BE49-F238E27FC236}">
              <a16:creationId xmlns:a16="http://schemas.microsoft.com/office/drawing/2014/main" id="{00000000-0008-0000-0100-000072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3" name="AutoShape 158">
          <a:extLst>
            <a:ext uri="{FF2B5EF4-FFF2-40B4-BE49-F238E27FC236}">
              <a16:creationId xmlns:a16="http://schemas.microsoft.com/office/drawing/2014/main" id="{00000000-0008-0000-0100-000073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4" name="AutoShape 124">
          <a:extLst>
            <a:ext uri="{FF2B5EF4-FFF2-40B4-BE49-F238E27FC236}">
              <a16:creationId xmlns:a16="http://schemas.microsoft.com/office/drawing/2014/main" id="{00000000-0008-0000-0100-000074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005" name="AutoShape 80">
          <a:extLst>
            <a:ext uri="{FF2B5EF4-FFF2-40B4-BE49-F238E27FC236}">
              <a16:creationId xmlns:a16="http://schemas.microsoft.com/office/drawing/2014/main" id="{00000000-0008-0000-0100-000075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6" name="AutoShape 84">
          <a:extLst>
            <a:ext uri="{FF2B5EF4-FFF2-40B4-BE49-F238E27FC236}">
              <a16:creationId xmlns:a16="http://schemas.microsoft.com/office/drawing/2014/main" id="{00000000-0008-0000-0100-000076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7" name="AutoShape 157">
          <a:extLst>
            <a:ext uri="{FF2B5EF4-FFF2-40B4-BE49-F238E27FC236}">
              <a16:creationId xmlns:a16="http://schemas.microsoft.com/office/drawing/2014/main" id="{00000000-0008-0000-0100-000077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8" name="AutoShape 158">
          <a:extLst>
            <a:ext uri="{FF2B5EF4-FFF2-40B4-BE49-F238E27FC236}">
              <a16:creationId xmlns:a16="http://schemas.microsoft.com/office/drawing/2014/main" id="{00000000-0008-0000-0100-000078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09" name="AutoShape 249">
          <a:extLst>
            <a:ext uri="{FF2B5EF4-FFF2-40B4-BE49-F238E27FC236}">
              <a16:creationId xmlns:a16="http://schemas.microsoft.com/office/drawing/2014/main" id="{00000000-0008-0000-0100-000079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10" name="AutoShape 184">
          <a:extLst>
            <a:ext uri="{FF2B5EF4-FFF2-40B4-BE49-F238E27FC236}">
              <a16:creationId xmlns:a16="http://schemas.microsoft.com/office/drawing/2014/main" id="{00000000-0008-0000-0100-00007A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11" name="AutoShape 185">
          <a:extLst>
            <a:ext uri="{FF2B5EF4-FFF2-40B4-BE49-F238E27FC236}">
              <a16:creationId xmlns:a16="http://schemas.microsoft.com/office/drawing/2014/main" id="{00000000-0008-0000-0100-00007B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12" name="AutoShape 186">
          <a:extLst>
            <a:ext uri="{FF2B5EF4-FFF2-40B4-BE49-F238E27FC236}">
              <a16:creationId xmlns:a16="http://schemas.microsoft.com/office/drawing/2014/main" id="{00000000-0008-0000-0100-00007C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13" name="AutoShape 187">
          <a:extLst>
            <a:ext uri="{FF2B5EF4-FFF2-40B4-BE49-F238E27FC236}">
              <a16:creationId xmlns:a16="http://schemas.microsoft.com/office/drawing/2014/main" id="{00000000-0008-0000-0100-00007D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14" name="AutoShape 80">
          <a:extLst>
            <a:ext uri="{FF2B5EF4-FFF2-40B4-BE49-F238E27FC236}">
              <a16:creationId xmlns:a16="http://schemas.microsoft.com/office/drawing/2014/main" id="{00000000-0008-0000-0100-00007E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15" name="AutoShape 84">
          <a:extLst>
            <a:ext uri="{FF2B5EF4-FFF2-40B4-BE49-F238E27FC236}">
              <a16:creationId xmlns:a16="http://schemas.microsoft.com/office/drawing/2014/main" id="{00000000-0008-0000-0100-00007F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16" name="AutoShape 157">
          <a:extLst>
            <a:ext uri="{FF2B5EF4-FFF2-40B4-BE49-F238E27FC236}">
              <a16:creationId xmlns:a16="http://schemas.microsoft.com/office/drawing/2014/main" id="{00000000-0008-0000-0100-000080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17" name="AutoShape 158">
          <a:extLst>
            <a:ext uri="{FF2B5EF4-FFF2-40B4-BE49-F238E27FC236}">
              <a16:creationId xmlns:a16="http://schemas.microsoft.com/office/drawing/2014/main" id="{00000000-0008-0000-0100-000081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18" name="AutoShape 124">
          <a:extLst>
            <a:ext uri="{FF2B5EF4-FFF2-40B4-BE49-F238E27FC236}">
              <a16:creationId xmlns:a16="http://schemas.microsoft.com/office/drawing/2014/main" id="{00000000-0008-0000-0100-000082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019" name="AutoShape 80">
          <a:extLst>
            <a:ext uri="{FF2B5EF4-FFF2-40B4-BE49-F238E27FC236}">
              <a16:creationId xmlns:a16="http://schemas.microsoft.com/office/drawing/2014/main" id="{00000000-0008-0000-0100-000083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0" name="AutoShape 84">
          <a:extLst>
            <a:ext uri="{FF2B5EF4-FFF2-40B4-BE49-F238E27FC236}">
              <a16:creationId xmlns:a16="http://schemas.microsoft.com/office/drawing/2014/main" id="{00000000-0008-0000-0100-000084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1" name="AutoShape 157">
          <a:extLst>
            <a:ext uri="{FF2B5EF4-FFF2-40B4-BE49-F238E27FC236}">
              <a16:creationId xmlns:a16="http://schemas.microsoft.com/office/drawing/2014/main" id="{00000000-0008-0000-0100-000085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2" name="AutoShape 158">
          <a:extLst>
            <a:ext uri="{FF2B5EF4-FFF2-40B4-BE49-F238E27FC236}">
              <a16:creationId xmlns:a16="http://schemas.microsoft.com/office/drawing/2014/main" id="{00000000-0008-0000-0100-000086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3" name="AutoShape 249">
          <a:extLst>
            <a:ext uri="{FF2B5EF4-FFF2-40B4-BE49-F238E27FC236}">
              <a16:creationId xmlns:a16="http://schemas.microsoft.com/office/drawing/2014/main" id="{00000000-0008-0000-0100-000087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4" name="AutoShape 184">
          <a:extLst>
            <a:ext uri="{FF2B5EF4-FFF2-40B4-BE49-F238E27FC236}">
              <a16:creationId xmlns:a16="http://schemas.microsoft.com/office/drawing/2014/main" id="{00000000-0008-0000-0100-000088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5" name="AutoShape 185">
          <a:extLst>
            <a:ext uri="{FF2B5EF4-FFF2-40B4-BE49-F238E27FC236}">
              <a16:creationId xmlns:a16="http://schemas.microsoft.com/office/drawing/2014/main" id="{00000000-0008-0000-0100-000089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6" name="AutoShape 186">
          <a:extLst>
            <a:ext uri="{FF2B5EF4-FFF2-40B4-BE49-F238E27FC236}">
              <a16:creationId xmlns:a16="http://schemas.microsoft.com/office/drawing/2014/main" id="{00000000-0008-0000-0100-00008A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27" name="AutoShape 187">
          <a:extLst>
            <a:ext uri="{FF2B5EF4-FFF2-40B4-BE49-F238E27FC236}">
              <a16:creationId xmlns:a16="http://schemas.microsoft.com/office/drawing/2014/main" id="{00000000-0008-0000-0100-00008B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28" name="AutoShape 80">
          <a:extLst>
            <a:ext uri="{FF2B5EF4-FFF2-40B4-BE49-F238E27FC236}">
              <a16:creationId xmlns:a16="http://schemas.microsoft.com/office/drawing/2014/main" id="{00000000-0008-0000-0100-00008C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29" name="AutoShape 84">
          <a:extLst>
            <a:ext uri="{FF2B5EF4-FFF2-40B4-BE49-F238E27FC236}">
              <a16:creationId xmlns:a16="http://schemas.microsoft.com/office/drawing/2014/main" id="{00000000-0008-0000-0100-00008D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0" name="AutoShape 157">
          <a:extLst>
            <a:ext uri="{FF2B5EF4-FFF2-40B4-BE49-F238E27FC236}">
              <a16:creationId xmlns:a16="http://schemas.microsoft.com/office/drawing/2014/main" id="{00000000-0008-0000-0100-00008E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1" name="AutoShape 158">
          <a:extLst>
            <a:ext uri="{FF2B5EF4-FFF2-40B4-BE49-F238E27FC236}">
              <a16:creationId xmlns:a16="http://schemas.microsoft.com/office/drawing/2014/main" id="{00000000-0008-0000-0100-00008F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2" name="AutoShape 124">
          <a:extLst>
            <a:ext uri="{FF2B5EF4-FFF2-40B4-BE49-F238E27FC236}">
              <a16:creationId xmlns:a16="http://schemas.microsoft.com/office/drawing/2014/main" id="{00000000-0008-0000-0100-000090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033" name="AutoShape 80">
          <a:extLst>
            <a:ext uri="{FF2B5EF4-FFF2-40B4-BE49-F238E27FC236}">
              <a16:creationId xmlns:a16="http://schemas.microsoft.com/office/drawing/2014/main" id="{00000000-0008-0000-0100-000091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4" name="AutoShape 84">
          <a:extLst>
            <a:ext uri="{FF2B5EF4-FFF2-40B4-BE49-F238E27FC236}">
              <a16:creationId xmlns:a16="http://schemas.microsoft.com/office/drawing/2014/main" id="{00000000-0008-0000-0100-000092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5" name="AutoShape 157">
          <a:extLst>
            <a:ext uri="{FF2B5EF4-FFF2-40B4-BE49-F238E27FC236}">
              <a16:creationId xmlns:a16="http://schemas.microsoft.com/office/drawing/2014/main" id="{00000000-0008-0000-0100-000093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6" name="AutoShape 158">
          <a:extLst>
            <a:ext uri="{FF2B5EF4-FFF2-40B4-BE49-F238E27FC236}">
              <a16:creationId xmlns:a16="http://schemas.microsoft.com/office/drawing/2014/main" id="{00000000-0008-0000-0100-000094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7" name="AutoShape 249">
          <a:extLst>
            <a:ext uri="{FF2B5EF4-FFF2-40B4-BE49-F238E27FC236}">
              <a16:creationId xmlns:a16="http://schemas.microsoft.com/office/drawing/2014/main" id="{00000000-0008-0000-0100-000095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8" name="AutoShape 184">
          <a:extLst>
            <a:ext uri="{FF2B5EF4-FFF2-40B4-BE49-F238E27FC236}">
              <a16:creationId xmlns:a16="http://schemas.microsoft.com/office/drawing/2014/main" id="{00000000-0008-0000-0100-000096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39" name="AutoShape 185">
          <a:extLst>
            <a:ext uri="{FF2B5EF4-FFF2-40B4-BE49-F238E27FC236}">
              <a16:creationId xmlns:a16="http://schemas.microsoft.com/office/drawing/2014/main" id="{00000000-0008-0000-0100-000097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40" name="AutoShape 186">
          <a:extLst>
            <a:ext uri="{FF2B5EF4-FFF2-40B4-BE49-F238E27FC236}">
              <a16:creationId xmlns:a16="http://schemas.microsoft.com/office/drawing/2014/main" id="{00000000-0008-0000-0100-000098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41" name="AutoShape 187">
          <a:extLst>
            <a:ext uri="{FF2B5EF4-FFF2-40B4-BE49-F238E27FC236}">
              <a16:creationId xmlns:a16="http://schemas.microsoft.com/office/drawing/2014/main" id="{00000000-0008-0000-0100-000099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56" name="AutoShape 80">
          <a:extLst>
            <a:ext uri="{FF2B5EF4-FFF2-40B4-BE49-F238E27FC236}">
              <a16:creationId xmlns:a16="http://schemas.microsoft.com/office/drawing/2014/main" id="{00000000-0008-0000-0100-0000A8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57" name="AutoShape 84">
          <a:extLst>
            <a:ext uri="{FF2B5EF4-FFF2-40B4-BE49-F238E27FC236}">
              <a16:creationId xmlns:a16="http://schemas.microsoft.com/office/drawing/2014/main" id="{00000000-0008-0000-0100-0000A9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58" name="AutoShape 157">
          <a:extLst>
            <a:ext uri="{FF2B5EF4-FFF2-40B4-BE49-F238E27FC236}">
              <a16:creationId xmlns:a16="http://schemas.microsoft.com/office/drawing/2014/main" id="{00000000-0008-0000-0100-0000AA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59" name="AutoShape 158">
          <a:extLst>
            <a:ext uri="{FF2B5EF4-FFF2-40B4-BE49-F238E27FC236}">
              <a16:creationId xmlns:a16="http://schemas.microsoft.com/office/drawing/2014/main" id="{00000000-0008-0000-0100-0000AB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0" name="AutoShape 124">
          <a:extLst>
            <a:ext uri="{FF2B5EF4-FFF2-40B4-BE49-F238E27FC236}">
              <a16:creationId xmlns:a16="http://schemas.microsoft.com/office/drawing/2014/main" id="{00000000-0008-0000-0100-0000AC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6061" name="AutoShape 80">
          <a:extLst>
            <a:ext uri="{FF2B5EF4-FFF2-40B4-BE49-F238E27FC236}">
              <a16:creationId xmlns:a16="http://schemas.microsoft.com/office/drawing/2014/main" id="{00000000-0008-0000-0100-0000AD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2" name="AutoShape 84">
          <a:extLst>
            <a:ext uri="{FF2B5EF4-FFF2-40B4-BE49-F238E27FC236}">
              <a16:creationId xmlns:a16="http://schemas.microsoft.com/office/drawing/2014/main" id="{00000000-0008-0000-0100-0000AE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3" name="AutoShape 157">
          <a:extLst>
            <a:ext uri="{FF2B5EF4-FFF2-40B4-BE49-F238E27FC236}">
              <a16:creationId xmlns:a16="http://schemas.microsoft.com/office/drawing/2014/main" id="{00000000-0008-0000-0100-0000AF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4" name="AutoShape 158">
          <a:extLst>
            <a:ext uri="{FF2B5EF4-FFF2-40B4-BE49-F238E27FC236}">
              <a16:creationId xmlns:a16="http://schemas.microsoft.com/office/drawing/2014/main" id="{00000000-0008-0000-0100-0000B0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5" name="AutoShape 249">
          <a:extLst>
            <a:ext uri="{FF2B5EF4-FFF2-40B4-BE49-F238E27FC236}">
              <a16:creationId xmlns:a16="http://schemas.microsoft.com/office/drawing/2014/main" id="{00000000-0008-0000-0100-0000B1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6" name="AutoShape 184">
          <a:extLst>
            <a:ext uri="{FF2B5EF4-FFF2-40B4-BE49-F238E27FC236}">
              <a16:creationId xmlns:a16="http://schemas.microsoft.com/office/drawing/2014/main" id="{00000000-0008-0000-0100-0000B2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7" name="AutoShape 185">
          <a:extLst>
            <a:ext uri="{FF2B5EF4-FFF2-40B4-BE49-F238E27FC236}">
              <a16:creationId xmlns:a16="http://schemas.microsoft.com/office/drawing/2014/main" id="{00000000-0008-0000-0100-0000B3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8" name="AutoShape 186">
          <a:extLst>
            <a:ext uri="{FF2B5EF4-FFF2-40B4-BE49-F238E27FC236}">
              <a16:creationId xmlns:a16="http://schemas.microsoft.com/office/drawing/2014/main" id="{00000000-0008-0000-0100-0000B4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069" name="AutoShape 187">
          <a:extLst>
            <a:ext uri="{FF2B5EF4-FFF2-40B4-BE49-F238E27FC236}">
              <a16:creationId xmlns:a16="http://schemas.microsoft.com/office/drawing/2014/main" id="{00000000-0008-0000-0100-0000B5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0" name="AutoShape 80">
          <a:extLst>
            <a:ext uri="{FF2B5EF4-FFF2-40B4-BE49-F238E27FC236}">
              <a16:creationId xmlns:a16="http://schemas.microsoft.com/office/drawing/2014/main" id="{00000000-0008-0000-0100-0000B6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1" name="AutoShape 84">
          <a:extLst>
            <a:ext uri="{FF2B5EF4-FFF2-40B4-BE49-F238E27FC236}">
              <a16:creationId xmlns:a16="http://schemas.microsoft.com/office/drawing/2014/main" id="{00000000-0008-0000-0100-0000B7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2" name="AutoShape 157">
          <a:extLst>
            <a:ext uri="{FF2B5EF4-FFF2-40B4-BE49-F238E27FC236}">
              <a16:creationId xmlns:a16="http://schemas.microsoft.com/office/drawing/2014/main" id="{00000000-0008-0000-0100-0000B8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3" name="AutoShape 158">
          <a:extLst>
            <a:ext uri="{FF2B5EF4-FFF2-40B4-BE49-F238E27FC236}">
              <a16:creationId xmlns:a16="http://schemas.microsoft.com/office/drawing/2014/main" id="{00000000-0008-0000-0100-0000B9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4" name="AutoShape 124">
          <a:extLst>
            <a:ext uri="{FF2B5EF4-FFF2-40B4-BE49-F238E27FC236}">
              <a16:creationId xmlns:a16="http://schemas.microsoft.com/office/drawing/2014/main" id="{00000000-0008-0000-0100-0000BA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075" name="AutoShape 80">
          <a:extLst>
            <a:ext uri="{FF2B5EF4-FFF2-40B4-BE49-F238E27FC236}">
              <a16:creationId xmlns:a16="http://schemas.microsoft.com/office/drawing/2014/main" id="{00000000-0008-0000-0100-0000BB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6" name="AutoShape 84">
          <a:extLst>
            <a:ext uri="{FF2B5EF4-FFF2-40B4-BE49-F238E27FC236}">
              <a16:creationId xmlns:a16="http://schemas.microsoft.com/office/drawing/2014/main" id="{00000000-0008-0000-0100-0000BC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7" name="AutoShape 157">
          <a:extLst>
            <a:ext uri="{FF2B5EF4-FFF2-40B4-BE49-F238E27FC236}">
              <a16:creationId xmlns:a16="http://schemas.microsoft.com/office/drawing/2014/main" id="{00000000-0008-0000-0100-0000BD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8" name="AutoShape 158">
          <a:extLst>
            <a:ext uri="{FF2B5EF4-FFF2-40B4-BE49-F238E27FC236}">
              <a16:creationId xmlns:a16="http://schemas.microsoft.com/office/drawing/2014/main" id="{00000000-0008-0000-0100-0000BE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79" name="AutoShape 249">
          <a:extLst>
            <a:ext uri="{FF2B5EF4-FFF2-40B4-BE49-F238E27FC236}">
              <a16:creationId xmlns:a16="http://schemas.microsoft.com/office/drawing/2014/main" id="{00000000-0008-0000-0100-0000BF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80" name="AutoShape 184">
          <a:extLst>
            <a:ext uri="{FF2B5EF4-FFF2-40B4-BE49-F238E27FC236}">
              <a16:creationId xmlns:a16="http://schemas.microsoft.com/office/drawing/2014/main" id="{00000000-0008-0000-0100-0000C0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81" name="AutoShape 185">
          <a:extLst>
            <a:ext uri="{FF2B5EF4-FFF2-40B4-BE49-F238E27FC236}">
              <a16:creationId xmlns:a16="http://schemas.microsoft.com/office/drawing/2014/main" id="{00000000-0008-0000-0100-0000C1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82" name="AutoShape 186">
          <a:extLst>
            <a:ext uri="{FF2B5EF4-FFF2-40B4-BE49-F238E27FC236}">
              <a16:creationId xmlns:a16="http://schemas.microsoft.com/office/drawing/2014/main" id="{00000000-0008-0000-0100-0000C217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083" name="AutoShape 187">
          <a:extLst>
            <a:ext uri="{FF2B5EF4-FFF2-40B4-BE49-F238E27FC236}">
              <a16:creationId xmlns:a16="http://schemas.microsoft.com/office/drawing/2014/main" id="{00000000-0008-0000-0100-0000C317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84" name="AutoShape 80">
          <a:extLst>
            <a:ext uri="{FF2B5EF4-FFF2-40B4-BE49-F238E27FC236}">
              <a16:creationId xmlns:a16="http://schemas.microsoft.com/office/drawing/2014/main" id="{00000000-0008-0000-0100-0000C4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85" name="AutoShape 84">
          <a:extLst>
            <a:ext uri="{FF2B5EF4-FFF2-40B4-BE49-F238E27FC236}">
              <a16:creationId xmlns:a16="http://schemas.microsoft.com/office/drawing/2014/main" id="{00000000-0008-0000-0100-0000C5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86" name="AutoShape 157">
          <a:extLst>
            <a:ext uri="{FF2B5EF4-FFF2-40B4-BE49-F238E27FC236}">
              <a16:creationId xmlns:a16="http://schemas.microsoft.com/office/drawing/2014/main" id="{00000000-0008-0000-0100-0000C6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87" name="AutoShape 158">
          <a:extLst>
            <a:ext uri="{FF2B5EF4-FFF2-40B4-BE49-F238E27FC236}">
              <a16:creationId xmlns:a16="http://schemas.microsoft.com/office/drawing/2014/main" id="{00000000-0008-0000-0100-0000C7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88" name="AutoShape 124">
          <a:extLst>
            <a:ext uri="{FF2B5EF4-FFF2-40B4-BE49-F238E27FC236}">
              <a16:creationId xmlns:a16="http://schemas.microsoft.com/office/drawing/2014/main" id="{00000000-0008-0000-0100-0000C8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089" name="AutoShape 80">
          <a:extLst>
            <a:ext uri="{FF2B5EF4-FFF2-40B4-BE49-F238E27FC236}">
              <a16:creationId xmlns:a16="http://schemas.microsoft.com/office/drawing/2014/main" id="{00000000-0008-0000-0100-0000C9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0" name="AutoShape 84">
          <a:extLst>
            <a:ext uri="{FF2B5EF4-FFF2-40B4-BE49-F238E27FC236}">
              <a16:creationId xmlns:a16="http://schemas.microsoft.com/office/drawing/2014/main" id="{00000000-0008-0000-0100-0000CA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1" name="AutoShape 157">
          <a:extLst>
            <a:ext uri="{FF2B5EF4-FFF2-40B4-BE49-F238E27FC236}">
              <a16:creationId xmlns:a16="http://schemas.microsoft.com/office/drawing/2014/main" id="{00000000-0008-0000-0100-0000CB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2" name="AutoShape 158">
          <a:extLst>
            <a:ext uri="{FF2B5EF4-FFF2-40B4-BE49-F238E27FC236}">
              <a16:creationId xmlns:a16="http://schemas.microsoft.com/office/drawing/2014/main" id="{00000000-0008-0000-0100-0000CC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3" name="AutoShape 249">
          <a:extLst>
            <a:ext uri="{FF2B5EF4-FFF2-40B4-BE49-F238E27FC236}">
              <a16:creationId xmlns:a16="http://schemas.microsoft.com/office/drawing/2014/main" id="{00000000-0008-0000-0100-0000CD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4" name="AutoShape 184">
          <a:extLst>
            <a:ext uri="{FF2B5EF4-FFF2-40B4-BE49-F238E27FC236}">
              <a16:creationId xmlns:a16="http://schemas.microsoft.com/office/drawing/2014/main" id="{00000000-0008-0000-0100-0000CE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5" name="AutoShape 185">
          <a:extLst>
            <a:ext uri="{FF2B5EF4-FFF2-40B4-BE49-F238E27FC236}">
              <a16:creationId xmlns:a16="http://schemas.microsoft.com/office/drawing/2014/main" id="{00000000-0008-0000-0100-0000CF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6" name="AutoShape 186">
          <a:extLst>
            <a:ext uri="{FF2B5EF4-FFF2-40B4-BE49-F238E27FC236}">
              <a16:creationId xmlns:a16="http://schemas.microsoft.com/office/drawing/2014/main" id="{00000000-0008-0000-0100-0000D017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097" name="AutoShape 187">
          <a:extLst>
            <a:ext uri="{FF2B5EF4-FFF2-40B4-BE49-F238E27FC236}">
              <a16:creationId xmlns:a16="http://schemas.microsoft.com/office/drawing/2014/main" id="{00000000-0008-0000-0100-0000D117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98" name="AutoShape 80">
          <a:extLst>
            <a:ext uri="{FF2B5EF4-FFF2-40B4-BE49-F238E27FC236}">
              <a16:creationId xmlns:a16="http://schemas.microsoft.com/office/drawing/2014/main" id="{00000000-0008-0000-0100-0000D2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099" name="AutoShape 84">
          <a:extLst>
            <a:ext uri="{FF2B5EF4-FFF2-40B4-BE49-F238E27FC236}">
              <a16:creationId xmlns:a16="http://schemas.microsoft.com/office/drawing/2014/main" id="{00000000-0008-0000-0100-0000D3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0" name="AutoShape 157">
          <a:extLst>
            <a:ext uri="{FF2B5EF4-FFF2-40B4-BE49-F238E27FC236}">
              <a16:creationId xmlns:a16="http://schemas.microsoft.com/office/drawing/2014/main" id="{00000000-0008-0000-0100-0000D4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1" name="AutoShape 158">
          <a:extLst>
            <a:ext uri="{FF2B5EF4-FFF2-40B4-BE49-F238E27FC236}">
              <a16:creationId xmlns:a16="http://schemas.microsoft.com/office/drawing/2014/main" id="{00000000-0008-0000-0100-0000D5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2" name="AutoShape 124">
          <a:extLst>
            <a:ext uri="{FF2B5EF4-FFF2-40B4-BE49-F238E27FC236}">
              <a16:creationId xmlns:a16="http://schemas.microsoft.com/office/drawing/2014/main" id="{00000000-0008-0000-0100-0000D6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103" name="AutoShape 80">
          <a:extLst>
            <a:ext uri="{FF2B5EF4-FFF2-40B4-BE49-F238E27FC236}">
              <a16:creationId xmlns:a16="http://schemas.microsoft.com/office/drawing/2014/main" id="{00000000-0008-0000-0100-0000D7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4" name="AutoShape 84">
          <a:extLst>
            <a:ext uri="{FF2B5EF4-FFF2-40B4-BE49-F238E27FC236}">
              <a16:creationId xmlns:a16="http://schemas.microsoft.com/office/drawing/2014/main" id="{00000000-0008-0000-0100-0000D8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5" name="AutoShape 157">
          <a:extLst>
            <a:ext uri="{FF2B5EF4-FFF2-40B4-BE49-F238E27FC236}">
              <a16:creationId xmlns:a16="http://schemas.microsoft.com/office/drawing/2014/main" id="{00000000-0008-0000-0100-0000D9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6" name="AutoShape 158">
          <a:extLst>
            <a:ext uri="{FF2B5EF4-FFF2-40B4-BE49-F238E27FC236}">
              <a16:creationId xmlns:a16="http://schemas.microsoft.com/office/drawing/2014/main" id="{00000000-0008-0000-0100-0000DA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7" name="AutoShape 249">
          <a:extLst>
            <a:ext uri="{FF2B5EF4-FFF2-40B4-BE49-F238E27FC236}">
              <a16:creationId xmlns:a16="http://schemas.microsoft.com/office/drawing/2014/main" id="{00000000-0008-0000-0100-0000DB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8" name="AutoShape 184">
          <a:extLst>
            <a:ext uri="{FF2B5EF4-FFF2-40B4-BE49-F238E27FC236}">
              <a16:creationId xmlns:a16="http://schemas.microsoft.com/office/drawing/2014/main" id="{00000000-0008-0000-0100-0000DC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09" name="AutoShape 185">
          <a:extLst>
            <a:ext uri="{FF2B5EF4-FFF2-40B4-BE49-F238E27FC236}">
              <a16:creationId xmlns:a16="http://schemas.microsoft.com/office/drawing/2014/main" id="{00000000-0008-0000-0100-0000DD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10" name="AutoShape 186">
          <a:extLst>
            <a:ext uri="{FF2B5EF4-FFF2-40B4-BE49-F238E27FC236}">
              <a16:creationId xmlns:a16="http://schemas.microsoft.com/office/drawing/2014/main" id="{00000000-0008-0000-0100-0000DE17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11" name="AutoShape 187">
          <a:extLst>
            <a:ext uri="{FF2B5EF4-FFF2-40B4-BE49-F238E27FC236}">
              <a16:creationId xmlns:a16="http://schemas.microsoft.com/office/drawing/2014/main" id="{00000000-0008-0000-0100-0000DF17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0" name="AutoShape 80">
          <a:extLst>
            <a:ext uri="{FF2B5EF4-FFF2-40B4-BE49-F238E27FC236}">
              <a16:creationId xmlns:a16="http://schemas.microsoft.com/office/drawing/2014/main" id="{00000000-0008-0000-0100-0000FC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1" name="AutoShape 84">
          <a:extLst>
            <a:ext uri="{FF2B5EF4-FFF2-40B4-BE49-F238E27FC236}">
              <a16:creationId xmlns:a16="http://schemas.microsoft.com/office/drawing/2014/main" id="{00000000-0008-0000-0100-0000FD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2" name="AutoShape 157">
          <a:extLst>
            <a:ext uri="{FF2B5EF4-FFF2-40B4-BE49-F238E27FC236}">
              <a16:creationId xmlns:a16="http://schemas.microsoft.com/office/drawing/2014/main" id="{00000000-0008-0000-0100-0000FE17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3" name="AutoShape 158">
          <a:extLst>
            <a:ext uri="{FF2B5EF4-FFF2-40B4-BE49-F238E27FC236}">
              <a16:creationId xmlns:a16="http://schemas.microsoft.com/office/drawing/2014/main" id="{00000000-0008-0000-0100-0000FF17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4" name="AutoShape 124">
          <a:extLst>
            <a:ext uri="{FF2B5EF4-FFF2-40B4-BE49-F238E27FC236}">
              <a16:creationId xmlns:a16="http://schemas.microsoft.com/office/drawing/2014/main" id="{00000000-0008-0000-0100-000000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6145" name="AutoShape 80">
          <a:extLst>
            <a:ext uri="{FF2B5EF4-FFF2-40B4-BE49-F238E27FC236}">
              <a16:creationId xmlns:a16="http://schemas.microsoft.com/office/drawing/2014/main" id="{00000000-0008-0000-0100-000001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6" name="AutoShape 84">
          <a:extLst>
            <a:ext uri="{FF2B5EF4-FFF2-40B4-BE49-F238E27FC236}">
              <a16:creationId xmlns:a16="http://schemas.microsoft.com/office/drawing/2014/main" id="{00000000-0008-0000-0100-0000021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7" name="AutoShape 157">
          <a:extLst>
            <a:ext uri="{FF2B5EF4-FFF2-40B4-BE49-F238E27FC236}">
              <a16:creationId xmlns:a16="http://schemas.microsoft.com/office/drawing/2014/main" id="{00000000-0008-0000-0100-000003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8" name="AutoShape 158">
          <a:extLst>
            <a:ext uri="{FF2B5EF4-FFF2-40B4-BE49-F238E27FC236}">
              <a16:creationId xmlns:a16="http://schemas.microsoft.com/office/drawing/2014/main" id="{00000000-0008-0000-0100-0000041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49" name="AutoShape 249">
          <a:extLst>
            <a:ext uri="{FF2B5EF4-FFF2-40B4-BE49-F238E27FC236}">
              <a16:creationId xmlns:a16="http://schemas.microsoft.com/office/drawing/2014/main" id="{00000000-0008-0000-0100-000005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50" name="AutoShape 184">
          <a:extLst>
            <a:ext uri="{FF2B5EF4-FFF2-40B4-BE49-F238E27FC236}">
              <a16:creationId xmlns:a16="http://schemas.microsoft.com/office/drawing/2014/main" id="{00000000-0008-0000-0100-000006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51" name="AutoShape 185">
          <a:extLst>
            <a:ext uri="{FF2B5EF4-FFF2-40B4-BE49-F238E27FC236}">
              <a16:creationId xmlns:a16="http://schemas.microsoft.com/office/drawing/2014/main" id="{00000000-0008-0000-0100-0000071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52" name="AutoShape 186">
          <a:extLst>
            <a:ext uri="{FF2B5EF4-FFF2-40B4-BE49-F238E27FC236}">
              <a16:creationId xmlns:a16="http://schemas.microsoft.com/office/drawing/2014/main" id="{00000000-0008-0000-0100-000008180000}"/>
            </a:ext>
          </a:extLst>
        </xdr:cNvPr>
        <xdr:cNvSpPr>
          <a:spLocks noChangeArrowheads="1"/>
        </xdr:cNvSpPr>
      </xdr:nvSpPr>
      <xdr:spPr>
        <a:xfrm>
          <a:off x="9204512" y="3810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153" name="AutoShape 187">
          <a:extLst>
            <a:ext uri="{FF2B5EF4-FFF2-40B4-BE49-F238E27FC236}">
              <a16:creationId xmlns:a16="http://schemas.microsoft.com/office/drawing/2014/main" id="{00000000-0008-0000-0100-000009180000}"/>
            </a:ext>
          </a:extLst>
        </xdr:cNvPr>
        <xdr:cNvSpPr>
          <a:spLocks noChangeArrowheads="1"/>
        </xdr:cNvSpPr>
      </xdr:nvSpPr>
      <xdr:spPr>
        <a:xfrm>
          <a:off x="9185462" y="3810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54" name="AutoShape 80">
          <a:extLst>
            <a:ext uri="{FF2B5EF4-FFF2-40B4-BE49-F238E27FC236}">
              <a16:creationId xmlns:a16="http://schemas.microsoft.com/office/drawing/2014/main" id="{00000000-0008-0000-0100-00000A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55" name="AutoShape 84">
          <a:extLst>
            <a:ext uri="{FF2B5EF4-FFF2-40B4-BE49-F238E27FC236}">
              <a16:creationId xmlns:a16="http://schemas.microsoft.com/office/drawing/2014/main" id="{00000000-0008-0000-0100-00000B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56" name="AutoShape 157">
          <a:extLst>
            <a:ext uri="{FF2B5EF4-FFF2-40B4-BE49-F238E27FC236}">
              <a16:creationId xmlns:a16="http://schemas.microsoft.com/office/drawing/2014/main" id="{00000000-0008-0000-0100-00000C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57" name="AutoShape 158">
          <a:extLst>
            <a:ext uri="{FF2B5EF4-FFF2-40B4-BE49-F238E27FC236}">
              <a16:creationId xmlns:a16="http://schemas.microsoft.com/office/drawing/2014/main" id="{00000000-0008-0000-0100-00000D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58" name="AutoShape 124">
          <a:extLst>
            <a:ext uri="{FF2B5EF4-FFF2-40B4-BE49-F238E27FC236}">
              <a16:creationId xmlns:a16="http://schemas.microsoft.com/office/drawing/2014/main" id="{00000000-0008-0000-0100-00000E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159" name="AutoShape 80">
          <a:extLst>
            <a:ext uri="{FF2B5EF4-FFF2-40B4-BE49-F238E27FC236}">
              <a16:creationId xmlns:a16="http://schemas.microsoft.com/office/drawing/2014/main" id="{00000000-0008-0000-0100-00000F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0" name="AutoShape 84">
          <a:extLst>
            <a:ext uri="{FF2B5EF4-FFF2-40B4-BE49-F238E27FC236}">
              <a16:creationId xmlns:a16="http://schemas.microsoft.com/office/drawing/2014/main" id="{00000000-0008-0000-0100-000010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1" name="AutoShape 157">
          <a:extLst>
            <a:ext uri="{FF2B5EF4-FFF2-40B4-BE49-F238E27FC236}">
              <a16:creationId xmlns:a16="http://schemas.microsoft.com/office/drawing/2014/main" id="{00000000-0008-0000-0100-000011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2" name="AutoShape 158">
          <a:extLst>
            <a:ext uri="{FF2B5EF4-FFF2-40B4-BE49-F238E27FC236}">
              <a16:creationId xmlns:a16="http://schemas.microsoft.com/office/drawing/2014/main" id="{00000000-0008-0000-0100-000012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3" name="AutoShape 249">
          <a:extLst>
            <a:ext uri="{FF2B5EF4-FFF2-40B4-BE49-F238E27FC236}">
              <a16:creationId xmlns:a16="http://schemas.microsoft.com/office/drawing/2014/main" id="{00000000-0008-0000-0100-000013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4" name="AutoShape 184">
          <a:extLst>
            <a:ext uri="{FF2B5EF4-FFF2-40B4-BE49-F238E27FC236}">
              <a16:creationId xmlns:a16="http://schemas.microsoft.com/office/drawing/2014/main" id="{00000000-0008-0000-0100-000014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5" name="AutoShape 185">
          <a:extLst>
            <a:ext uri="{FF2B5EF4-FFF2-40B4-BE49-F238E27FC236}">
              <a16:creationId xmlns:a16="http://schemas.microsoft.com/office/drawing/2014/main" id="{00000000-0008-0000-0100-000015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6" name="AutoShape 186">
          <a:extLst>
            <a:ext uri="{FF2B5EF4-FFF2-40B4-BE49-F238E27FC236}">
              <a16:creationId xmlns:a16="http://schemas.microsoft.com/office/drawing/2014/main" id="{00000000-0008-0000-0100-000016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167" name="AutoShape 187">
          <a:extLst>
            <a:ext uri="{FF2B5EF4-FFF2-40B4-BE49-F238E27FC236}">
              <a16:creationId xmlns:a16="http://schemas.microsoft.com/office/drawing/2014/main" id="{00000000-0008-0000-0100-000017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68" name="AutoShape 80">
          <a:extLst>
            <a:ext uri="{FF2B5EF4-FFF2-40B4-BE49-F238E27FC236}">
              <a16:creationId xmlns:a16="http://schemas.microsoft.com/office/drawing/2014/main" id="{00000000-0008-0000-0100-000018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69" name="AutoShape 84">
          <a:extLst>
            <a:ext uri="{FF2B5EF4-FFF2-40B4-BE49-F238E27FC236}">
              <a16:creationId xmlns:a16="http://schemas.microsoft.com/office/drawing/2014/main" id="{00000000-0008-0000-0100-000019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0" name="AutoShape 157">
          <a:extLst>
            <a:ext uri="{FF2B5EF4-FFF2-40B4-BE49-F238E27FC236}">
              <a16:creationId xmlns:a16="http://schemas.microsoft.com/office/drawing/2014/main" id="{00000000-0008-0000-0100-00001A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1" name="AutoShape 158">
          <a:extLst>
            <a:ext uri="{FF2B5EF4-FFF2-40B4-BE49-F238E27FC236}">
              <a16:creationId xmlns:a16="http://schemas.microsoft.com/office/drawing/2014/main" id="{00000000-0008-0000-0100-00001B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2" name="AutoShape 124">
          <a:extLst>
            <a:ext uri="{FF2B5EF4-FFF2-40B4-BE49-F238E27FC236}">
              <a16:creationId xmlns:a16="http://schemas.microsoft.com/office/drawing/2014/main" id="{00000000-0008-0000-0100-00001C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173" name="AutoShape 80">
          <a:extLst>
            <a:ext uri="{FF2B5EF4-FFF2-40B4-BE49-F238E27FC236}">
              <a16:creationId xmlns:a16="http://schemas.microsoft.com/office/drawing/2014/main" id="{00000000-0008-0000-0100-00001D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4" name="AutoShape 84">
          <a:extLst>
            <a:ext uri="{FF2B5EF4-FFF2-40B4-BE49-F238E27FC236}">
              <a16:creationId xmlns:a16="http://schemas.microsoft.com/office/drawing/2014/main" id="{00000000-0008-0000-0100-00001E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5" name="AutoShape 157">
          <a:extLst>
            <a:ext uri="{FF2B5EF4-FFF2-40B4-BE49-F238E27FC236}">
              <a16:creationId xmlns:a16="http://schemas.microsoft.com/office/drawing/2014/main" id="{00000000-0008-0000-0100-00001F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6" name="AutoShape 158">
          <a:extLst>
            <a:ext uri="{FF2B5EF4-FFF2-40B4-BE49-F238E27FC236}">
              <a16:creationId xmlns:a16="http://schemas.microsoft.com/office/drawing/2014/main" id="{00000000-0008-0000-0100-000020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7" name="AutoShape 249">
          <a:extLst>
            <a:ext uri="{FF2B5EF4-FFF2-40B4-BE49-F238E27FC236}">
              <a16:creationId xmlns:a16="http://schemas.microsoft.com/office/drawing/2014/main" id="{00000000-0008-0000-0100-000021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8" name="AutoShape 184">
          <a:extLst>
            <a:ext uri="{FF2B5EF4-FFF2-40B4-BE49-F238E27FC236}">
              <a16:creationId xmlns:a16="http://schemas.microsoft.com/office/drawing/2014/main" id="{00000000-0008-0000-0100-000022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79" name="AutoShape 185">
          <a:extLst>
            <a:ext uri="{FF2B5EF4-FFF2-40B4-BE49-F238E27FC236}">
              <a16:creationId xmlns:a16="http://schemas.microsoft.com/office/drawing/2014/main" id="{00000000-0008-0000-0100-000023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80" name="AutoShape 186">
          <a:extLst>
            <a:ext uri="{FF2B5EF4-FFF2-40B4-BE49-F238E27FC236}">
              <a16:creationId xmlns:a16="http://schemas.microsoft.com/office/drawing/2014/main" id="{00000000-0008-0000-0100-000024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181" name="AutoShape 187">
          <a:extLst>
            <a:ext uri="{FF2B5EF4-FFF2-40B4-BE49-F238E27FC236}">
              <a16:creationId xmlns:a16="http://schemas.microsoft.com/office/drawing/2014/main" id="{00000000-0008-0000-0100-000025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2" name="AutoShape 80">
          <a:extLst>
            <a:ext uri="{FF2B5EF4-FFF2-40B4-BE49-F238E27FC236}">
              <a16:creationId xmlns:a16="http://schemas.microsoft.com/office/drawing/2014/main" id="{00000000-0008-0000-0100-000026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3" name="AutoShape 84">
          <a:extLst>
            <a:ext uri="{FF2B5EF4-FFF2-40B4-BE49-F238E27FC236}">
              <a16:creationId xmlns:a16="http://schemas.microsoft.com/office/drawing/2014/main" id="{00000000-0008-0000-0100-000027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4" name="AutoShape 157">
          <a:extLst>
            <a:ext uri="{FF2B5EF4-FFF2-40B4-BE49-F238E27FC236}">
              <a16:creationId xmlns:a16="http://schemas.microsoft.com/office/drawing/2014/main" id="{00000000-0008-0000-0100-000028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5" name="AutoShape 158">
          <a:extLst>
            <a:ext uri="{FF2B5EF4-FFF2-40B4-BE49-F238E27FC236}">
              <a16:creationId xmlns:a16="http://schemas.microsoft.com/office/drawing/2014/main" id="{00000000-0008-0000-0100-000029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6" name="AutoShape 124">
          <a:extLst>
            <a:ext uri="{FF2B5EF4-FFF2-40B4-BE49-F238E27FC236}">
              <a16:creationId xmlns:a16="http://schemas.microsoft.com/office/drawing/2014/main" id="{00000000-0008-0000-0100-00002A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187" name="AutoShape 80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8" name="AutoShape 8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89" name="AutoShape 157">
          <a:extLst>
            <a:ext uri="{FF2B5EF4-FFF2-40B4-BE49-F238E27FC236}">
              <a16:creationId xmlns:a16="http://schemas.microsoft.com/office/drawing/2014/main" id="{00000000-0008-0000-0100-00002D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0" name="AutoShape 158">
          <a:extLst>
            <a:ext uri="{FF2B5EF4-FFF2-40B4-BE49-F238E27FC236}">
              <a16:creationId xmlns:a16="http://schemas.microsoft.com/office/drawing/2014/main" id="{00000000-0008-0000-0100-00002E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1" name="AutoShape 249">
          <a:extLst>
            <a:ext uri="{FF2B5EF4-FFF2-40B4-BE49-F238E27FC236}">
              <a16:creationId xmlns:a16="http://schemas.microsoft.com/office/drawing/2014/main" id="{00000000-0008-0000-0100-00002F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2" name="AutoShape 184">
          <a:extLst>
            <a:ext uri="{FF2B5EF4-FFF2-40B4-BE49-F238E27FC236}">
              <a16:creationId xmlns:a16="http://schemas.microsoft.com/office/drawing/2014/main" id="{00000000-0008-0000-0100-000030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3" name="AutoShape 185">
          <a:extLst>
            <a:ext uri="{FF2B5EF4-FFF2-40B4-BE49-F238E27FC236}">
              <a16:creationId xmlns:a16="http://schemas.microsoft.com/office/drawing/2014/main" id="{00000000-0008-0000-0100-000031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4" name="AutoShape 186">
          <a:extLst>
            <a:ext uri="{FF2B5EF4-FFF2-40B4-BE49-F238E27FC236}">
              <a16:creationId xmlns:a16="http://schemas.microsoft.com/office/drawing/2014/main" id="{00000000-0008-0000-0100-000032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195" name="AutoShape 187">
          <a:extLst>
            <a:ext uri="{FF2B5EF4-FFF2-40B4-BE49-F238E27FC236}">
              <a16:creationId xmlns:a16="http://schemas.microsoft.com/office/drawing/2014/main" id="{00000000-0008-0000-0100-000033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0" name="AutoShape 80">
          <a:extLst>
            <a:ext uri="{FF2B5EF4-FFF2-40B4-BE49-F238E27FC236}">
              <a16:creationId xmlns:a16="http://schemas.microsoft.com/office/drawing/2014/main" id="{00000000-0008-0000-0100-000042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1" name="AutoShape 84">
          <a:extLst>
            <a:ext uri="{FF2B5EF4-FFF2-40B4-BE49-F238E27FC236}">
              <a16:creationId xmlns:a16="http://schemas.microsoft.com/office/drawing/2014/main" id="{00000000-0008-0000-0100-000043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2" name="AutoShape 157">
          <a:extLst>
            <a:ext uri="{FF2B5EF4-FFF2-40B4-BE49-F238E27FC236}">
              <a16:creationId xmlns:a16="http://schemas.microsoft.com/office/drawing/2014/main" id="{00000000-0008-0000-0100-000044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3" name="AutoShape 158">
          <a:extLst>
            <a:ext uri="{FF2B5EF4-FFF2-40B4-BE49-F238E27FC236}">
              <a16:creationId xmlns:a16="http://schemas.microsoft.com/office/drawing/2014/main" id="{00000000-0008-0000-0100-000045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4" name="AutoShape 124">
          <a:extLst>
            <a:ext uri="{FF2B5EF4-FFF2-40B4-BE49-F238E27FC236}">
              <a16:creationId xmlns:a16="http://schemas.microsoft.com/office/drawing/2014/main" id="{00000000-0008-0000-0100-000046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215" name="AutoShape 80">
          <a:extLst>
            <a:ext uri="{FF2B5EF4-FFF2-40B4-BE49-F238E27FC236}">
              <a16:creationId xmlns:a16="http://schemas.microsoft.com/office/drawing/2014/main" id="{00000000-0008-0000-0100-000047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6" name="AutoShape 84">
          <a:extLst>
            <a:ext uri="{FF2B5EF4-FFF2-40B4-BE49-F238E27FC236}">
              <a16:creationId xmlns:a16="http://schemas.microsoft.com/office/drawing/2014/main" id="{00000000-0008-0000-0100-000048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7" name="AutoShape 157">
          <a:extLst>
            <a:ext uri="{FF2B5EF4-FFF2-40B4-BE49-F238E27FC236}">
              <a16:creationId xmlns:a16="http://schemas.microsoft.com/office/drawing/2014/main" id="{00000000-0008-0000-0100-000049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8" name="AutoShape 158">
          <a:extLst>
            <a:ext uri="{FF2B5EF4-FFF2-40B4-BE49-F238E27FC236}">
              <a16:creationId xmlns:a16="http://schemas.microsoft.com/office/drawing/2014/main" id="{00000000-0008-0000-0100-00004A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19" name="AutoShape 249">
          <a:extLst>
            <a:ext uri="{FF2B5EF4-FFF2-40B4-BE49-F238E27FC236}">
              <a16:creationId xmlns:a16="http://schemas.microsoft.com/office/drawing/2014/main" id="{00000000-0008-0000-0100-00004B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0" name="AutoShape 184">
          <a:extLst>
            <a:ext uri="{FF2B5EF4-FFF2-40B4-BE49-F238E27FC236}">
              <a16:creationId xmlns:a16="http://schemas.microsoft.com/office/drawing/2014/main" id="{00000000-0008-0000-0100-00004C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1" name="AutoShape 185">
          <a:extLst>
            <a:ext uri="{FF2B5EF4-FFF2-40B4-BE49-F238E27FC236}">
              <a16:creationId xmlns:a16="http://schemas.microsoft.com/office/drawing/2014/main" id="{00000000-0008-0000-0100-00004D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2" name="AutoShape 186">
          <a:extLst>
            <a:ext uri="{FF2B5EF4-FFF2-40B4-BE49-F238E27FC236}">
              <a16:creationId xmlns:a16="http://schemas.microsoft.com/office/drawing/2014/main" id="{00000000-0008-0000-0100-00004E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3" name="AutoShape 187">
          <a:extLst>
            <a:ext uri="{FF2B5EF4-FFF2-40B4-BE49-F238E27FC236}">
              <a16:creationId xmlns:a16="http://schemas.microsoft.com/office/drawing/2014/main" id="{00000000-0008-0000-0100-00004F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4" name="AutoShape 80">
          <a:extLst>
            <a:ext uri="{FF2B5EF4-FFF2-40B4-BE49-F238E27FC236}">
              <a16:creationId xmlns:a16="http://schemas.microsoft.com/office/drawing/2014/main" id="{00000000-0008-0000-0100-000050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5" name="AutoShape 84">
          <a:extLst>
            <a:ext uri="{FF2B5EF4-FFF2-40B4-BE49-F238E27FC236}">
              <a16:creationId xmlns:a16="http://schemas.microsoft.com/office/drawing/2014/main" id="{00000000-0008-0000-0100-000051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6" name="AutoShape 157">
          <a:extLst>
            <a:ext uri="{FF2B5EF4-FFF2-40B4-BE49-F238E27FC236}">
              <a16:creationId xmlns:a16="http://schemas.microsoft.com/office/drawing/2014/main" id="{00000000-0008-0000-0100-000052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7" name="AutoShape 158">
          <a:extLst>
            <a:ext uri="{FF2B5EF4-FFF2-40B4-BE49-F238E27FC236}">
              <a16:creationId xmlns:a16="http://schemas.microsoft.com/office/drawing/2014/main" id="{00000000-0008-0000-0100-000053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28" name="AutoShape 124">
          <a:extLst>
            <a:ext uri="{FF2B5EF4-FFF2-40B4-BE49-F238E27FC236}">
              <a16:creationId xmlns:a16="http://schemas.microsoft.com/office/drawing/2014/main" id="{00000000-0008-0000-0100-000054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229" name="AutoShape 80">
          <a:extLst>
            <a:ext uri="{FF2B5EF4-FFF2-40B4-BE49-F238E27FC236}">
              <a16:creationId xmlns:a16="http://schemas.microsoft.com/office/drawing/2014/main" id="{00000000-0008-0000-0100-000055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0" name="AutoShape 84">
          <a:extLst>
            <a:ext uri="{FF2B5EF4-FFF2-40B4-BE49-F238E27FC236}">
              <a16:creationId xmlns:a16="http://schemas.microsoft.com/office/drawing/2014/main" id="{00000000-0008-0000-0100-000056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1" name="AutoShape 157">
          <a:extLst>
            <a:ext uri="{FF2B5EF4-FFF2-40B4-BE49-F238E27FC236}">
              <a16:creationId xmlns:a16="http://schemas.microsoft.com/office/drawing/2014/main" id="{00000000-0008-0000-0100-000057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2" name="AutoShape 158">
          <a:extLst>
            <a:ext uri="{FF2B5EF4-FFF2-40B4-BE49-F238E27FC236}">
              <a16:creationId xmlns:a16="http://schemas.microsoft.com/office/drawing/2014/main" id="{00000000-0008-0000-0100-000058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3" name="AutoShape 249">
          <a:extLst>
            <a:ext uri="{FF2B5EF4-FFF2-40B4-BE49-F238E27FC236}">
              <a16:creationId xmlns:a16="http://schemas.microsoft.com/office/drawing/2014/main" id="{00000000-0008-0000-0100-000059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4" name="AutoShape 184">
          <a:extLst>
            <a:ext uri="{FF2B5EF4-FFF2-40B4-BE49-F238E27FC236}">
              <a16:creationId xmlns:a16="http://schemas.microsoft.com/office/drawing/2014/main" id="{00000000-0008-0000-0100-00005A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5" name="AutoShape 185">
          <a:extLst>
            <a:ext uri="{FF2B5EF4-FFF2-40B4-BE49-F238E27FC236}">
              <a16:creationId xmlns:a16="http://schemas.microsoft.com/office/drawing/2014/main" id="{00000000-0008-0000-0100-00005B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6" name="AutoShape 186">
          <a:extLst>
            <a:ext uri="{FF2B5EF4-FFF2-40B4-BE49-F238E27FC236}">
              <a16:creationId xmlns:a16="http://schemas.microsoft.com/office/drawing/2014/main" id="{00000000-0008-0000-0100-00005C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7" name="AutoShape 187">
          <a:extLst>
            <a:ext uri="{FF2B5EF4-FFF2-40B4-BE49-F238E27FC236}">
              <a16:creationId xmlns:a16="http://schemas.microsoft.com/office/drawing/2014/main" id="{00000000-0008-0000-0100-00005D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8" name="AutoShape 80">
          <a:extLst>
            <a:ext uri="{FF2B5EF4-FFF2-40B4-BE49-F238E27FC236}">
              <a16:creationId xmlns:a16="http://schemas.microsoft.com/office/drawing/2014/main" id="{00000000-0008-0000-0100-00005E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39" name="AutoShape 84">
          <a:extLst>
            <a:ext uri="{FF2B5EF4-FFF2-40B4-BE49-F238E27FC236}">
              <a16:creationId xmlns:a16="http://schemas.microsoft.com/office/drawing/2014/main" id="{00000000-0008-0000-0100-00005F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0" name="AutoShape 157">
          <a:extLst>
            <a:ext uri="{FF2B5EF4-FFF2-40B4-BE49-F238E27FC236}">
              <a16:creationId xmlns:a16="http://schemas.microsoft.com/office/drawing/2014/main" id="{00000000-0008-0000-0100-000060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1" name="AutoShape 158">
          <a:extLst>
            <a:ext uri="{FF2B5EF4-FFF2-40B4-BE49-F238E27FC236}">
              <a16:creationId xmlns:a16="http://schemas.microsoft.com/office/drawing/2014/main" id="{00000000-0008-0000-0100-000061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2" name="AutoShape 124">
          <a:extLst>
            <a:ext uri="{FF2B5EF4-FFF2-40B4-BE49-F238E27FC236}">
              <a16:creationId xmlns:a16="http://schemas.microsoft.com/office/drawing/2014/main" id="{00000000-0008-0000-0100-000062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243" name="AutoShape 80">
          <a:extLst>
            <a:ext uri="{FF2B5EF4-FFF2-40B4-BE49-F238E27FC236}">
              <a16:creationId xmlns:a16="http://schemas.microsoft.com/office/drawing/2014/main" id="{00000000-0008-0000-0100-000063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4" name="AutoShape 84">
          <a:extLst>
            <a:ext uri="{FF2B5EF4-FFF2-40B4-BE49-F238E27FC236}">
              <a16:creationId xmlns:a16="http://schemas.microsoft.com/office/drawing/2014/main" id="{00000000-0008-0000-0100-000064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5" name="AutoShape 157">
          <a:extLst>
            <a:ext uri="{FF2B5EF4-FFF2-40B4-BE49-F238E27FC236}">
              <a16:creationId xmlns:a16="http://schemas.microsoft.com/office/drawing/2014/main" id="{00000000-0008-0000-0100-000065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6" name="AutoShape 158">
          <a:extLst>
            <a:ext uri="{FF2B5EF4-FFF2-40B4-BE49-F238E27FC236}">
              <a16:creationId xmlns:a16="http://schemas.microsoft.com/office/drawing/2014/main" id="{00000000-0008-0000-0100-000066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7" name="AutoShape 249">
          <a:extLst>
            <a:ext uri="{FF2B5EF4-FFF2-40B4-BE49-F238E27FC236}">
              <a16:creationId xmlns:a16="http://schemas.microsoft.com/office/drawing/2014/main" id="{00000000-0008-0000-0100-000067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8" name="AutoShape 184">
          <a:extLst>
            <a:ext uri="{FF2B5EF4-FFF2-40B4-BE49-F238E27FC236}">
              <a16:creationId xmlns:a16="http://schemas.microsoft.com/office/drawing/2014/main" id="{00000000-0008-0000-0100-000068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49" name="AutoShape 185">
          <a:extLst>
            <a:ext uri="{FF2B5EF4-FFF2-40B4-BE49-F238E27FC236}">
              <a16:creationId xmlns:a16="http://schemas.microsoft.com/office/drawing/2014/main" id="{00000000-0008-0000-0100-000069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50" name="AutoShape 186">
          <a:extLst>
            <a:ext uri="{FF2B5EF4-FFF2-40B4-BE49-F238E27FC236}">
              <a16:creationId xmlns:a16="http://schemas.microsoft.com/office/drawing/2014/main" id="{00000000-0008-0000-0100-00006A180000}"/>
            </a:ext>
          </a:extLst>
        </xdr:cNvPr>
        <xdr:cNvSpPr>
          <a:spLocks noChangeArrowheads="1"/>
        </xdr:cNvSpPr>
      </xdr:nvSpPr>
      <xdr:spPr>
        <a:xfrm>
          <a:off x="9204512" y="4762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251" name="AutoShape 187">
          <a:extLst>
            <a:ext uri="{FF2B5EF4-FFF2-40B4-BE49-F238E27FC236}">
              <a16:creationId xmlns:a16="http://schemas.microsoft.com/office/drawing/2014/main" id="{00000000-0008-0000-0100-00006B180000}"/>
            </a:ext>
          </a:extLst>
        </xdr:cNvPr>
        <xdr:cNvSpPr>
          <a:spLocks noChangeArrowheads="1"/>
        </xdr:cNvSpPr>
      </xdr:nvSpPr>
      <xdr:spPr>
        <a:xfrm>
          <a:off x="9185462" y="4762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2" name="AutoShape 80">
          <a:extLst>
            <a:ext uri="{FF2B5EF4-FFF2-40B4-BE49-F238E27FC236}">
              <a16:creationId xmlns:a16="http://schemas.microsoft.com/office/drawing/2014/main" id="{00000000-0008-0000-0100-00006C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3" name="AutoShape 84">
          <a:extLst>
            <a:ext uri="{FF2B5EF4-FFF2-40B4-BE49-F238E27FC236}">
              <a16:creationId xmlns:a16="http://schemas.microsoft.com/office/drawing/2014/main" id="{00000000-0008-0000-0100-00006D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4" name="AutoShape 157">
          <a:extLst>
            <a:ext uri="{FF2B5EF4-FFF2-40B4-BE49-F238E27FC236}">
              <a16:creationId xmlns:a16="http://schemas.microsoft.com/office/drawing/2014/main" id="{00000000-0008-0000-0100-00006E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5" name="AutoShape 158">
          <a:extLst>
            <a:ext uri="{FF2B5EF4-FFF2-40B4-BE49-F238E27FC236}">
              <a16:creationId xmlns:a16="http://schemas.microsoft.com/office/drawing/2014/main" id="{00000000-0008-0000-0100-00006F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6" name="AutoShape 124">
          <a:extLst>
            <a:ext uri="{FF2B5EF4-FFF2-40B4-BE49-F238E27FC236}">
              <a16:creationId xmlns:a16="http://schemas.microsoft.com/office/drawing/2014/main" id="{00000000-0008-0000-0100-000070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257" name="AutoShape 80">
          <a:extLst>
            <a:ext uri="{FF2B5EF4-FFF2-40B4-BE49-F238E27FC236}">
              <a16:creationId xmlns:a16="http://schemas.microsoft.com/office/drawing/2014/main" id="{00000000-0008-0000-0100-000071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8" name="AutoShape 84">
          <a:extLst>
            <a:ext uri="{FF2B5EF4-FFF2-40B4-BE49-F238E27FC236}">
              <a16:creationId xmlns:a16="http://schemas.microsoft.com/office/drawing/2014/main" id="{00000000-0008-0000-0100-000072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59" name="AutoShape 157">
          <a:extLst>
            <a:ext uri="{FF2B5EF4-FFF2-40B4-BE49-F238E27FC236}">
              <a16:creationId xmlns:a16="http://schemas.microsoft.com/office/drawing/2014/main" id="{00000000-0008-0000-0100-000073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0" name="AutoShape 158">
          <a:extLst>
            <a:ext uri="{FF2B5EF4-FFF2-40B4-BE49-F238E27FC236}">
              <a16:creationId xmlns:a16="http://schemas.microsoft.com/office/drawing/2014/main" id="{00000000-0008-0000-0100-000074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1" name="AutoShape 249">
          <a:extLst>
            <a:ext uri="{FF2B5EF4-FFF2-40B4-BE49-F238E27FC236}">
              <a16:creationId xmlns:a16="http://schemas.microsoft.com/office/drawing/2014/main" id="{00000000-0008-0000-0100-000075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2" name="AutoShape 184">
          <a:extLst>
            <a:ext uri="{FF2B5EF4-FFF2-40B4-BE49-F238E27FC236}">
              <a16:creationId xmlns:a16="http://schemas.microsoft.com/office/drawing/2014/main" id="{00000000-0008-0000-0100-000076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3" name="AutoShape 185">
          <a:extLst>
            <a:ext uri="{FF2B5EF4-FFF2-40B4-BE49-F238E27FC236}">
              <a16:creationId xmlns:a16="http://schemas.microsoft.com/office/drawing/2014/main" id="{00000000-0008-0000-0100-000077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4" name="AutoShape 186">
          <a:extLst>
            <a:ext uri="{FF2B5EF4-FFF2-40B4-BE49-F238E27FC236}">
              <a16:creationId xmlns:a16="http://schemas.microsoft.com/office/drawing/2014/main" id="{00000000-0008-0000-0100-000078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5" name="AutoShape 187">
          <a:extLst>
            <a:ext uri="{FF2B5EF4-FFF2-40B4-BE49-F238E27FC236}">
              <a16:creationId xmlns:a16="http://schemas.microsoft.com/office/drawing/2014/main" id="{00000000-0008-0000-0100-000079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6" name="AutoShape 80">
          <a:extLst>
            <a:ext uri="{FF2B5EF4-FFF2-40B4-BE49-F238E27FC236}">
              <a16:creationId xmlns:a16="http://schemas.microsoft.com/office/drawing/2014/main" id="{00000000-0008-0000-0100-00007A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7" name="AutoShape 84">
          <a:extLst>
            <a:ext uri="{FF2B5EF4-FFF2-40B4-BE49-F238E27FC236}">
              <a16:creationId xmlns:a16="http://schemas.microsoft.com/office/drawing/2014/main" id="{00000000-0008-0000-0100-00007B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8" name="AutoShape 157">
          <a:extLst>
            <a:ext uri="{FF2B5EF4-FFF2-40B4-BE49-F238E27FC236}">
              <a16:creationId xmlns:a16="http://schemas.microsoft.com/office/drawing/2014/main" id="{00000000-0008-0000-0100-00007C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69" name="AutoShape 158">
          <a:extLst>
            <a:ext uri="{FF2B5EF4-FFF2-40B4-BE49-F238E27FC236}">
              <a16:creationId xmlns:a16="http://schemas.microsoft.com/office/drawing/2014/main" id="{00000000-0008-0000-0100-00007D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0" name="AutoShape 124">
          <a:extLst>
            <a:ext uri="{FF2B5EF4-FFF2-40B4-BE49-F238E27FC236}">
              <a16:creationId xmlns:a16="http://schemas.microsoft.com/office/drawing/2014/main" id="{00000000-0008-0000-0100-00007E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271" name="AutoShape 80">
          <a:extLst>
            <a:ext uri="{FF2B5EF4-FFF2-40B4-BE49-F238E27FC236}">
              <a16:creationId xmlns:a16="http://schemas.microsoft.com/office/drawing/2014/main" id="{00000000-0008-0000-0100-00007F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2" name="AutoShape 84">
          <a:extLst>
            <a:ext uri="{FF2B5EF4-FFF2-40B4-BE49-F238E27FC236}">
              <a16:creationId xmlns:a16="http://schemas.microsoft.com/office/drawing/2014/main" id="{00000000-0008-0000-0100-000080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3" name="AutoShape 157">
          <a:extLst>
            <a:ext uri="{FF2B5EF4-FFF2-40B4-BE49-F238E27FC236}">
              <a16:creationId xmlns:a16="http://schemas.microsoft.com/office/drawing/2014/main" id="{00000000-0008-0000-0100-000081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4" name="AutoShape 158">
          <a:extLst>
            <a:ext uri="{FF2B5EF4-FFF2-40B4-BE49-F238E27FC236}">
              <a16:creationId xmlns:a16="http://schemas.microsoft.com/office/drawing/2014/main" id="{00000000-0008-0000-0100-000082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5" name="AutoShape 249">
          <a:extLst>
            <a:ext uri="{FF2B5EF4-FFF2-40B4-BE49-F238E27FC236}">
              <a16:creationId xmlns:a16="http://schemas.microsoft.com/office/drawing/2014/main" id="{00000000-0008-0000-0100-000083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6" name="AutoShape 184">
          <a:extLst>
            <a:ext uri="{FF2B5EF4-FFF2-40B4-BE49-F238E27FC236}">
              <a16:creationId xmlns:a16="http://schemas.microsoft.com/office/drawing/2014/main" id="{00000000-0008-0000-0100-000084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7" name="AutoShape 185">
          <a:extLst>
            <a:ext uri="{FF2B5EF4-FFF2-40B4-BE49-F238E27FC236}">
              <a16:creationId xmlns:a16="http://schemas.microsoft.com/office/drawing/2014/main" id="{00000000-0008-0000-0100-000085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8" name="AutoShape 186">
          <a:extLst>
            <a:ext uri="{FF2B5EF4-FFF2-40B4-BE49-F238E27FC236}">
              <a16:creationId xmlns:a16="http://schemas.microsoft.com/office/drawing/2014/main" id="{00000000-0008-0000-0100-000086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79" name="AutoShape 187">
          <a:extLst>
            <a:ext uri="{FF2B5EF4-FFF2-40B4-BE49-F238E27FC236}">
              <a16:creationId xmlns:a16="http://schemas.microsoft.com/office/drawing/2014/main" id="{00000000-0008-0000-0100-000087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0" name="AutoShape 80">
          <a:extLst>
            <a:ext uri="{FF2B5EF4-FFF2-40B4-BE49-F238E27FC236}">
              <a16:creationId xmlns:a16="http://schemas.microsoft.com/office/drawing/2014/main" id="{00000000-0008-0000-0100-000088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1" name="AutoShape 84">
          <a:extLst>
            <a:ext uri="{FF2B5EF4-FFF2-40B4-BE49-F238E27FC236}">
              <a16:creationId xmlns:a16="http://schemas.microsoft.com/office/drawing/2014/main" id="{00000000-0008-0000-0100-000089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2" name="AutoShape 157">
          <a:extLst>
            <a:ext uri="{FF2B5EF4-FFF2-40B4-BE49-F238E27FC236}">
              <a16:creationId xmlns:a16="http://schemas.microsoft.com/office/drawing/2014/main" id="{00000000-0008-0000-0100-00008A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3" name="AutoShape 158">
          <a:extLst>
            <a:ext uri="{FF2B5EF4-FFF2-40B4-BE49-F238E27FC236}">
              <a16:creationId xmlns:a16="http://schemas.microsoft.com/office/drawing/2014/main" id="{00000000-0008-0000-0100-00008B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4" name="AutoShape 124">
          <a:extLst>
            <a:ext uri="{FF2B5EF4-FFF2-40B4-BE49-F238E27FC236}">
              <a16:creationId xmlns:a16="http://schemas.microsoft.com/office/drawing/2014/main" id="{00000000-0008-0000-0100-00008C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285" name="AutoShape 80">
          <a:extLst>
            <a:ext uri="{FF2B5EF4-FFF2-40B4-BE49-F238E27FC236}">
              <a16:creationId xmlns:a16="http://schemas.microsoft.com/office/drawing/2014/main" id="{00000000-0008-0000-0100-00008D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6" name="AutoShape 84">
          <a:extLst>
            <a:ext uri="{FF2B5EF4-FFF2-40B4-BE49-F238E27FC236}">
              <a16:creationId xmlns:a16="http://schemas.microsoft.com/office/drawing/2014/main" id="{00000000-0008-0000-0100-00008E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7" name="AutoShape 157">
          <a:extLst>
            <a:ext uri="{FF2B5EF4-FFF2-40B4-BE49-F238E27FC236}">
              <a16:creationId xmlns:a16="http://schemas.microsoft.com/office/drawing/2014/main" id="{00000000-0008-0000-0100-00008F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8" name="AutoShape 158">
          <a:extLst>
            <a:ext uri="{FF2B5EF4-FFF2-40B4-BE49-F238E27FC236}">
              <a16:creationId xmlns:a16="http://schemas.microsoft.com/office/drawing/2014/main" id="{00000000-0008-0000-0100-000090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89" name="AutoShape 249">
          <a:extLst>
            <a:ext uri="{FF2B5EF4-FFF2-40B4-BE49-F238E27FC236}">
              <a16:creationId xmlns:a16="http://schemas.microsoft.com/office/drawing/2014/main" id="{00000000-0008-0000-0100-000091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90" name="AutoShape 184">
          <a:extLst>
            <a:ext uri="{FF2B5EF4-FFF2-40B4-BE49-F238E27FC236}">
              <a16:creationId xmlns:a16="http://schemas.microsoft.com/office/drawing/2014/main" id="{00000000-0008-0000-0100-000092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91" name="AutoShape 185">
          <a:extLst>
            <a:ext uri="{FF2B5EF4-FFF2-40B4-BE49-F238E27FC236}">
              <a16:creationId xmlns:a16="http://schemas.microsoft.com/office/drawing/2014/main" id="{00000000-0008-0000-0100-000093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92" name="AutoShape 186">
          <a:extLst>
            <a:ext uri="{FF2B5EF4-FFF2-40B4-BE49-F238E27FC236}">
              <a16:creationId xmlns:a16="http://schemas.microsoft.com/office/drawing/2014/main" id="{00000000-0008-0000-0100-000094180000}"/>
            </a:ext>
          </a:extLst>
        </xdr:cNvPr>
        <xdr:cNvSpPr>
          <a:spLocks noChangeArrowheads="1"/>
        </xdr:cNvSpPr>
      </xdr:nvSpPr>
      <xdr:spPr>
        <a:xfrm>
          <a:off x="9204512" y="5715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293" name="AutoShape 187">
          <a:extLst>
            <a:ext uri="{FF2B5EF4-FFF2-40B4-BE49-F238E27FC236}">
              <a16:creationId xmlns:a16="http://schemas.microsoft.com/office/drawing/2014/main" id="{00000000-0008-0000-0100-000095180000}"/>
            </a:ext>
          </a:extLst>
        </xdr:cNvPr>
        <xdr:cNvSpPr>
          <a:spLocks noChangeArrowheads="1"/>
        </xdr:cNvSpPr>
      </xdr:nvSpPr>
      <xdr:spPr>
        <a:xfrm>
          <a:off x="9185462" y="5715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294" name="AutoShape 80">
          <a:extLst>
            <a:ext uri="{FF2B5EF4-FFF2-40B4-BE49-F238E27FC236}">
              <a16:creationId xmlns:a16="http://schemas.microsoft.com/office/drawing/2014/main" id="{00000000-0008-0000-0100-000096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295" name="AutoShape 84">
          <a:extLst>
            <a:ext uri="{FF2B5EF4-FFF2-40B4-BE49-F238E27FC236}">
              <a16:creationId xmlns:a16="http://schemas.microsoft.com/office/drawing/2014/main" id="{00000000-0008-0000-0100-000097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296" name="AutoShape 157">
          <a:extLst>
            <a:ext uri="{FF2B5EF4-FFF2-40B4-BE49-F238E27FC236}">
              <a16:creationId xmlns:a16="http://schemas.microsoft.com/office/drawing/2014/main" id="{00000000-0008-0000-0100-000098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297" name="AutoShape 158">
          <a:extLst>
            <a:ext uri="{FF2B5EF4-FFF2-40B4-BE49-F238E27FC236}">
              <a16:creationId xmlns:a16="http://schemas.microsoft.com/office/drawing/2014/main" id="{00000000-0008-0000-0100-000099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298" name="AutoShape 124">
          <a:extLst>
            <a:ext uri="{FF2B5EF4-FFF2-40B4-BE49-F238E27FC236}">
              <a16:creationId xmlns:a16="http://schemas.microsoft.com/office/drawing/2014/main" id="{00000000-0008-0000-0100-00009A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299" name="AutoShape 80">
          <a:extLst>
            <a:ext uri="{FF2B5EF4-FFF2-40B4-BE49-F238E27FC236}">
              <a16:creationId xmlns:a16="http://schemas.microsoft.com/office/drawing/2014/main" id="{00000000-0008-0000-0100-00009B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0" name="AutoShape 84">
          <a:extLst>
            <a:ext uri="{FF2B5EF4-FFF2-40B4-BE49-F238E27FC236}">
              <a16:creationId xmlns:a16="http://schemas.microsoft.com/office/drawing/2014/main" id="{00000000-0008-0000-0100-00009C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1" name="AutoShape 157">
          <a:extLst>
            <a:ext uri="{FF2B5EF4-FFF2-40B4-BE49-F238E27FC236}">
              <a16:creationId xmlns:a16="http://schemas.microsoft.com/office/drawing/2014/main" id="{00000000-0008-0000-0100-00009D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2" name="AutoShape 158">
          <a:extLst>
            <a:ext uri="{FF2B5EF4-FFF2-40B4-BE49-F238E27FC236}">
              <a16:creationId xmlns:a16="http://schemas.microsoft.com/office/drawing/2014/main" id="{00000000-0008-0000-0100-00009E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3" name="AutoShape 249">
          <a:extLst>
            <a:ext uri="{FF2B5EF4-FFF2-40B4-BE49-F238E27FC236}">
              <a16:creationId xmlns:a16="http://schemas.microsoft.com/office/drawing/2014/main" id="{00000000-0008-0000-0100-00009F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4" name="AutoShape 184">
          <a:extLst>
            <a:ext uri="{FF2B5EF4-FFF2-40B4-BE49-F238E27FC236}">
              <a16:creationId xmlns:a16="http://schemas.microsoft.com/office/drawing/2014/main" id="{00000000-0008-0000-0100-0000A0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5" name="AutoShape 185">
          <a:extLst>
            <a:ext uri="{FF2B5EF4-FFF2-40B4-BE49-F238E27FC236}">
              <a16:creationId xmlns:a16="http://schemas.microsoft.com/office/drawing/2014/main" id="{00000000-0008-0000-0100-0000A1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6" name="AutoShape 186">
          <a:extLst>
            <a:ext uri="{FF2B5EF4-FFF2-40B4-BE49-F238E27FC236}">
              <a16:creationId xmlns:a16="http://schemas.microsoft.com/office/drawing/2014/main" id="{00000000-0008-0000-0100-0000A2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7" name="AutoShape 187">
          <a:extLst>
            <a:ext uri="{FF2B5EF4-FFF2-40B4-BE49-F238E27FC236}">
              <a16:creationId xmlns:a16="http://schemas.microsoft.com/office/drawing/2014/main" id="{00000000-0008-0000-0100-0000A3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8" name="AutoShape 80">
          <a:extLst>
            <a:ext uri="{FF2B5EF4-FFF2-40B4-BE49-F238E27FC236}">
              <a16:creationId xmlns:a16="http://schemas.microsoft.com/office/drawing/2014/main" id="{00000000-0008-0000-0100-0000A4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09" name="AutoShape 84">
          <a:extLst>
            <a:ext uri="{FF2B5EF4-FFF2-40B4-BE49-F238E27FC236}">
              <a16:creationId xmlns:a16="http://schemas.microsoft.com/office/drawing/2014/main" id="{00000000-0008-0000-0100-0000A5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0" name="AutoShape 157">
          <a:extLst>
            <a:ext uri="{FF2B5EF4-FFF2-40B4-BE49-F238E27FC236}">
              <a16:creationId xmlns:a16="http://schemas.microsoft.com/office/drawing/2014/main" id="{00000000-0008-0000-0100-0000A6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1" name="AutoShape 158">
          <a:extLst>
            <a:ext uri="{FF2B5EF4-FFF2-40B4-BE49-F238E27FC236}">
              <a16:creationId xmlns:a16="http://schemas.microsoft.com/office/drawing/2014/main" id="{00000000-0008-0000-0100-0000A7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2" name="AutoShape 124">
          <a:extLst>
            <a:ext uri="{FF2B5EF4-FFF2-40B4-BE49-F238E27FC236}">
              <a16:creationId xmlns:a16="http://schemas.microsoft.com/office/drawing/2014/main" id="{00000000-0008-0000-0100-0000A8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313" name="AutoShape 80">
          <a:extLst>
            <a:ext uri="{FF2B5EF4-FFF2-40B4-BE49-F238E27FC236}">
              <a16:creationId xmlns:a16="http://schemas.microsoft.com/office/drawing/2014/main" id="{00000000-0008-0000-0100-0000A9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4" name="AutoShape 84">
          <a:extLst>
            <a:ext uri="{FF2B5EF4-FFF2-40B4-BE49-F238E27FC236}">
              <a16:creationId xmlns:a16="http://schemas.microsoft.com/office/drawing/2014/main" id="{00000000-0008-0000-0100-0000AA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5" name="AutoShape 157">
          <a:extLst>
            <a:ext uri="{FF2B5EF4-FFF2-40B4-BE49-F238E27FC236}">
              <a16:creationId xmlns:a16="http://schemas.microsoft.com/office/drawing/2014/main" id="{00000000-0008-0000-0100-0000AB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6" name="AutoShape 158">
          <a:extLst>
            <a:ext uri="{FF2B5EF4-FFF2-40B4-BE49-F238E27FC236}">
              <a16:creationId xmlns:a16="http://schemas.microsoft.com/office/drawing/2014/main" id="{00000000-0008-0000-0100-0000AC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7" name="AutoShape 249">
          <a:extLst>
            <a:ext uri="{FF2B5EF4-FFF2-40B4-BE49-F238E27FC236}">
              <a16:creationId xmlns:a16="http://schemas.microsoft.com/office/drawing/2014/main" id="{00000000-0008-0000-0100-0000AD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8" name="AutoShape 184">
          <a:extLst>
            <a:ext uri="{FF2B5EF4-FFF2-40B4-BE49-F238E27FC236}">
              <a16:creationId xmlns:a16="http://schemas.microsoft.com/office/drawing/2014/main" id="{00000000-0008-0000-0100-0000AE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19" name="AutoShape 185">
          <a:extLst>
            <a:ext uri="{FF2B5EF4-FFF2-40B4-BE49-F238E27FC236}">
              <a16:creationId xmlns:a16="http://schemas.microsoft.com/office/drawing/2014/main" id="{00000000-0008-0000-0100-0000AF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0" name="AutoShape 186">
          <a:extLst>
            <a:ext uri="{FF2B5EF4-FFF2-40B4-BE49-F238E27FC236}">
              <a16:creationId xmlns:a16="http://schemas.microsoft.com/office/drawing/2014/main" id="{00000000-0008-0000-0100-0000B0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1" name="AutoShape 187">
          <a:extLst>
            <a:ext uri="{FF2B5EF4-FFF2-40B4-BE49-F238E27FC236}">
              <a16:creationId xmlns:a16="http://schemas.microsoft.com/office/drawing/2014/main" id="{00000000-0008-0000-0100-0000B1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2" name="AutoShape 80">
          <a:extLst>
            <a:ext uri="{FF2B5EF4-FFF2-40B4-BE49-F238E27FC236}">
              <a16:creationId xmlns:a16="http://schemas.microsoft.com/office/drawing/2014/main" id="{00000000-0008-0000-0100-0000B2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3" name="AutoShape 84">
          <a:extLst>
            <a:ext uri="{FF2B5EF4-FFF2-40B4-BE49-F238E27FC236}">
              <a16:creationId xmlns:a16="http://schemas.microsoft.com/office/drawing/2014/main" id="{00000000-0008-0000-0100-0000B3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4" name="AutoShape 157">
          <a:extLst>
            <a:ext uri="{FF2B5EF4-FFF2-40B4-BE49-F238E27FC236}">
              <a16:creationId xmlns:a16="http://schemas.microsoft.com/office/drawing/2014/main" id="{00000000-0008-0000-0100-0000B4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5" name="AutoShape 158">
          <a:extLst>
            <a:ext uri="{FF2B5EF4-FFF2-40B4-BE49-F238E27FC236}">
              <a16:creationId xmlns:a16="http://schemas.microsoft.com/office/drawing/2014/main" id="{00000000-0008-0000-0100-0000B5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6" name="AutoShape 124">
          <a:extLst>
            <a:ext uri="{FF2B5EF4-FFF2-40B4-BE49-F238E27FC236}">
              <a16:creationId xmlns:a16="http://schemas.microsoft.com/office/drawing/2014/main" id="{00000000-0008-0000-0100-0000B6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327" name="AutoShape 80">
          <a:extLst>
            <a:ext uri="{FF2B5EF4-FFF2-40B4-BE49-F238E27FC236}">
              <a16:creationId xmlns:a16="http://schemas.microsoft.com/office/drawing/2014/main" id="{00000000-0008-0000-0100-0000B7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824753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8" name="AutoShape 84">
          <a:extLst>
            <a:ext uri="{FF2B5EF4-FFF2-40B4-BE49-F238E27FC236}">
              <a16:creationId xmlns:a16="http://schemas.microsoft.com/office/drawing/2014/main" id="{00000000-0008-0000-0100-0000B8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29" name="AutoShape 157">
          <a:extLst>
            <a:ext uri="{FF2B5EF4-FFF2-40B4-BE49-F238E27FC236}">
              <a16:creationId xmlns:a16="http://schemas.microsoft.com/office/drawing/2014/main" id="{00000000-0008-0000-0100-0000B9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0" name="AutoShape 158">
          <a:extLst>
            <a:ext uri="{FF2B5EF4-FFF2-40B4-BE49-F238E27FC236}">
              <a16:creationId xmlns:a16="http://schemas.microsoft.com/office/drawing/2014/main" id="{00000000-0008-0000-0100-0000BA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1" name="AutoShape 249">
          <a:extLst>
            <a:ext uri="{FF2B5EF4-FFF2-40B4-BE49-F238E27FC236}">
              <a16:creationId xmlns:a16="http://schemas.microsoft.com/office/drawing/2014/main" id="{00000000-0008-0000-0100-0000BB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2" name="AutoShape 184">
          <a:extLst>
            <a:ext uri="{FF2B5EF4-FFF2-40B4-BE49-F238E27FC236}">
              <a16:creationId xmlns:a16="http://schemas.microsoft.com/office/drawing/2014/main" id="{00000000-0008-0000-0100-0000BC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3" name="AutoShape 185">
          <a:extLst>
            <a:ext uri="{FF2B5EF4-FFF2-40B4-BE49-F238E27FC236}">
              <a16:creationId xmlns:a16="http://schemas.microsoft.com/office/drawing/2014/main" id="{00000000-0008-0000-0100-0000BD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4" name="AutoShape 186">
          <a:extLst>
            <a:ext uri="{FF2B5EF4-FFF2-40B4-BE49-F238E27FC236}">
              <a16:creationId xmlns:a16="http://schemas.microsoft.com/office/drawing/2014/main" id="{00000000-0008-0000-0100-0000BE180000}"/>
            </a:ext>
          </a:extLst>
        </xdr:cNvPr>
        <xdr:cNvSpPr>
          <a:spLocks noChangeArrowheads="1"/>
        </xdr:cNvSpPr>
      </xdr:nvSpPr>
      <xdr:spPr>
        <a:xfrm>
          <a:off x="9204512" y="66675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335" name="AutoShape 187">
          <a:extLst>
            <a:ext uri="{FF2B5EF4-FFF2-40B4-BE49-F238E27FC236}">
              <a16:creationId xmlns:a16="http://schemas.microsoft.com/office/drawing/2014/main" id="{00000000-0008-0000-0100-0000BF180000}"/>
            </a:ext>
          </a:extLst>
        </xdr:cNvPr>
        <xdr:cNvSpPr>
          <a:spLocks noChangeArrowheads="1"/>
        </xdr:cNvSpPr>
      </xdr:nvSpPr>
      <xdr:spPr>
        <a:xfrm>
          <a:off x="9185462" y="66675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" name="AutoShape 8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" name="AutoShape 8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6" name="AutoShape 15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5" name="AutoShape 15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6" name="AutoShape 12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27" name="AutoShape 8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8" name="AutoShape 8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29" name="AutoShape 157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0" name="AutoShape 15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1" name="AutoShape 24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9" name="AutoShape 184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0" name="AutoShape 18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1" name="AutoShape 186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2" name="AutoShape 18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3" name="AutoShape 8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4" name="AutoShape 8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5" name="AutoShape 157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6" name="AutoShape 15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7" name="AutoShape 12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48" name="AutoShape 80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49" name="AutoShape 8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0" name="AutoShape 157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1" name="AutoShape 15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2" name="AutoShape 24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3" name="AutoShape 18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4" name="AutoShape 185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5" name="AutoShape 18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6" name="AutoShape 187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7" name="AutoShape 80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8" name="AutoShape 8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59" name="AutoShape 157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60" name="AutoShape 158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61" name="AutoShape 12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62" name="AutoShape 8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63" name="AutoShape 8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0" name="AutoShape 157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1" name="AutoShape 158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2" name="AutoShape 249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3" name="AutoShape 184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4" name="AutoShape 185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5" name="AutoShape 186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6" name="AutoShape 187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7" name="AutoShape 80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8" name="AutoShape 84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29" name="AutoShape 157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0" name="AutoShape 158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1" name="AutoShape 124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332" name="AutoShape 80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3" name="AutoShape 84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4" name="AutoShape 157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5" name="AutoShape 158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6" name="AutoShape 249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7" name="AutoShape 184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8" name="AutoShape 185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39" name="AutoShape 186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0" name="AutoShape 187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1" name="AutoShape 8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2" name="AutoShape 84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3" name="AutoShape 157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4" name="AutoShape 158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5" name="AutoShape 12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346" name="AutoShape 80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7" name="AutoShape 84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8" name="AutoShape 15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49" name="AutoShape 15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0" name="AutoShape 2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1" name="AutoShape 184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2" name="AutoShape 185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3" name="AutoShape 186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4" name="AutoShape 187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5" name="AutoShape 80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6" name="AutoShape 84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7" name="AutoShape 157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8" name="AutoShape 158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59" name="AutoShape 124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360" name="AutoShape 80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1" name="AutoShape 84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2" name="AutoShape 157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3" name="AutoShape 158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4" name="AutoShape 249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5" name="AutoShape 18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6" name="AutoShape 18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7" name="AutoShape 18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8" name="AutoShape 18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69" name="AutoShape 80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70" name="AutoShape 8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77" name="AutoShape 157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78" name="AutoShape 158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79" name="AutoShape 124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380" name="AutoShape 80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81" name="AutoShape 84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82" name="AutoShape 157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383" name="AutoShape 158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06" name="AutoShape 249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07" name="AutoShape 184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08" name="AutoShape 185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09" name="AutoShape 186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0" name="AutoShape 187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1" name="AutoShape 80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2" name="AutoShape 84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3" name="AutoShape 157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4" name="AutoShape 158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5" name="AutoShape 124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716" name="AutoShape 80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7" name="AutoShape 84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8" name="AutoShape 157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19" name="AutoShape 158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0" name="AutoShape 249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1" name="AutoShape 184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2" name="AutoShape 185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3" name="AutoShape 186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4" name="AutoShape 187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5" name="AutoShape 80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6" name="AutoShape 84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7" name="AutoShape 157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8" name="AutoShape 158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729" name="AutoShape 124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20</xdr:col>
      <xdr:colOff>0</xdr:colOff>
      <xdr:row>95</xdr:row>
      <xdr:rowOff>0</xdr:rowOff>
    </xdr:to>
    <xdr:sp macro="" textlink="">
      <xdr:nvSpPr>
        <xdr:cNvPr id="1184" name="AutoShape 80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85" name="AutoShape 84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86" name="AutoShape 157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87" name="AutoShape 158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88" name="AutoShape 249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89" name="AutoShape 184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90" name="AutoShape 185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91" name="AutoShape 186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>
          <a:spLocks noChangeArrowheads="1"/>
        </xdr:cNvSpPr>
      </xdr:nvSpPr>
      <xdr:spPr>
        <a:xfrm>
          <a:off x="8970433" y="2717800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95</xdr:row>
      <xdr:rowOff>0</xdr:rowOff>
    </xdr:from>
    <xdr:to>
      <xdr:col>19</xdr:col>
      <xdr:colOff>495300</xdr:colOff>
      <xdr:row>95</xdr:row>
      <xdr:rowOff>0</xdr:rowOff>
    </xdr:to>
    <xdr:sp macro="" textlink="">
      <xdr:nvSpPr>
        <xdr:cNvPr id="1192" name="AutoShape 187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rrowheads="1"/>
        </xdr:cNvSpPr>
      </xdr:nvSpPr>
      <xdr:spPr>
        <a:xfrm>
          <a:off x="8951383" y="2717800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4767" name="AutoShape 80">
          <a:extLst>
            <a:ext uri="{FF2B5EF4-FFF2-40B4-BE49-F238E27FC236}">
              <a16:creationId xmlns:a16="http://schemas.microsoft.com/office/drawing/2014/main" id="{00000000-0008-0000-0100-00009F12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072" name="AutoShape 84">
          <a:extLst>
            <a:ext uri="{FF2B5EF4-FFF2-40B4-BE49-F238E27FC236}">
              <a16:creationId xmlns:a16="http://schemas.microsoft.com/office/drawing/2014/main" id="{00000000-0008-0000-0100-0000D013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073" name="AutoShape 157">
          <a:extLst>
            <a:ext uri="{FF2B5EF4-FFF2-40B4-BE49-F238E27FC236}">
              <a16:creationId xmlns:a16="http://schemas.microsoft.com/office/drawing/2014/main" id="{00000000-0008-0000-0100-0000D113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074" name="AutoShape 158">
          <a:extLst>
            <a:ext uri="{FF2B5EF4-FFF2-40B4-BE49-F238E27FC236}">
              <a16:creationId xmlns:a16="http://schemas.microsoft.com/office/drawing/2014/main" id="{00000000-0008-0000-0100-0000D213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5075" name="AutoShape 124">
          <a:extLst>
            <a:ext uri="{FF2B5EF4-FFF2-40B4-BE49-F238E27FC236}">
              <a16:creationId xmlns:a16="http://schemas.microsoft.com/office/drawing/2014/main" id="{00000000-0008-0000-0100-0000D313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193" name="AutoShape 80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4" name="AutoShape 84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5" name="AutoShape 157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6" name="AutoShape 158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7" name="AutoShape 249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8" name="AutoShape 184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199" name="AutoShape 185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0" name="AutoShape 186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1" name="AutoShape 187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2" name="AutoShape 80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3" name="AutoShape 84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4" name="AutoShape 157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5" name="AutoShape 158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6" name="AutoShape 124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207" name="AutoShape 80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8" name="AutoShape 84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09" name="AutoShape 157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0" name="AutoShape 158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1" name="AutoShape 249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2" name="AutoShape 184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3" name="AutoShape 185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4" name="AutoShape 186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215" name="AutoShape 187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36" name="AutoShape 80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37" name="AutoShape 84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38" name="AutoShape 157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39" name="AutoShape 158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0" name="AutoShape 124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541" name="AutoShape 80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2" name="AutoShape 84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3" name="AutoShape 157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4" name="AutoShape 158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5" name="AutoShape 249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6" name="AutoShape 184">
          <a:extLst>
            <a:ext uri="{FF2B5EF4-FFF2-40B4-BE49-F238E27FC236}">
              <a16:creationId xmlns:a16="http://schemas.microsoft.com/office/drawing/2014/main" id="{00000000-0008-0000-0100-00000A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7" name="AutoShape 185">
          <a:extLst>
            <a:ext uri="{FF2B5EF4-FFF2-40B4-BE49-F238E27FC236}">
              <a16:creationId xmlns:a16="http://schemas.microsoft.com/office/drawing/2014/main" id="{00000000-0008-0000-0100-00000B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8" name="AutoShape 186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49" name="AutoShape 187">
          <a:extLst>
            <a:ext uri="{FF2B5EF4-FFF2-40B4-BE49-F238E27FC236}">
              <a16:creationId xmlns:a16="http://schemas.microsoft.com/office/drawing/2014/main" id="{00000000-0008-0000-0100-00000D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0" name="AutoShape 80">
          <a:extLst>
            <a:ext uri="{FF2B5EF4-FFF2-40B4-BE49-F238E27FC236}">
              <a16:creationId xmlns:a16="http://schemas.microsoft.com/office/drawing/2014/main" id="{00000000-0008-0000-0100-00000E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1" name="AutoShape 84">
          <a:extLst>
            <a:ext uri="{FF2B5EF4-FFF2-40B4-BE49-F238E27FC236}">
              <a16:creationId xmlns:a16="http://schemas.microsoft.com/office/drawing/2014/main" id="{00000000-0008-0000-0100-00000F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2" name="AutoShape 157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3" name="AutoShape 158">
          <a:extLst>
            <a:ext uri="{FF2B5EF4-FFF2-40B4-BE49-F238E27FC236}">
              <a16:creationId xmlns:a16="http://schemas.microsoft.com/office/drawing/2014/main" id="{00000000-0008-0000-0100-000011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4" name="AutoShape 124">
          <a:extLst>
            <a:ext uri="{FF2B5EF4-FFF2-40B4-BE49-F238E27FC236}">
              <a16:creationId xmlns:a16="http://schemas.microsoft.com/office/drawing/2014/main" id="{00000000-0008-0000-0100-000012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555" name="AutoShape 80">
          <a:extLst>
            <a:ext uri="{FF2B5EF4-FFF2-40B4-BE49-F238E27FC236}">
              <a16:creationId xmlns:a16="http://schemas.microsoft.com/office/drawing/2014/main" id="{00000000-0008-0000-0100-000013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6" name="AutoShape 84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7" name="AutoShape 157">
          <a:extLst>
            <a:ext uri="{FF2B5EF4-FFF2-40B4-BE49-F238E27FC236}">
              <a16:creationId xmlns:a16="http://schemas.microsoft.com/office/drawing/2014/main" id="{00000000-0008-0000-0100-000015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8" name="AutoShape 158">
          <a:extLst>
            <a:ext uri="{FF2B5EF4-FFF2-40B4-BE49-F238E27FC236}">
              <a16:creationId xmlns:a16="http://schemas.microsoft.com/office/drawing/2014/main" id="{00000000-0008-0000-0100-000016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59" name="AutoShape 249">
          <a:extLst>
            <a:ext uri="{FF2B5EF4-FFF2-40B4-BE49-F238E27FC236}">
              <a16:creationId xmlns:a16="http://schemas.microsoft.com/office/drawing/2014/main" id="{00000000-0008-0000-0100-000017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0" name="AutoShape 184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1" name="AutoShape 185">
          <a:extLst>
            <a:ext uri="{FF2B5EF4-FFF2-40B4-BE49-F238E27FC236}">
              <a16:creationId xmlns:a16="http://schemas.microsoft.com/office/drawing/2014/main" id="{00000000-0008-0000-0100-000019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2" name="AutoShape 186">
          <a:extLst>
            <a:ext uri="{FF2B5EF4-FFF2-40B4-BE49-F238E27FC236}">
              <a16:creationId xmlns:a16="http://schemas.microsoft.com/office/drawing/2014/main" id="{00000000-0008-0000-0100-00001A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3" name="AutoShape 187">
          <a:extLst>
            <a:ext uri="{FF2B5EF4-FFF2-40B4-BE49-F238E27FC236}">
              <a16:creationId xmlns:a16="http://schemas.microsoft.com/office/drawing/2014/main" id="{00000000-0008-0000-0100-00001B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4" name="AutoShape 80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5" name="AutoShape 84">
          <a:extLst>
            <a:ext uri="{FF2B5EF4-FFF2-40B4-BE49-F238E27FC236}">
              <a16:creationId xmlns:a16="http://schemas.microsoft.com/office/drawing/2014/main" id="{00000000-0008-0000-0100-00001D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6" name="AutoShape 157">
          <a:extLst>
            <a:ext uri="{FF2B5EF4-FFF2-40B4-BE49-F238E27FC236}">
              <a16:creationId xmlns:a16="http://schemas.microsoft.com/office/drawing/2014/main" id="{00000000-0008-0000-0100-00001E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7" name="AutoShape 158">
          <a:extLst>
            <a:ext uri="{FF2B5EF4-FFF2-40B4-BE49-F238E27FC236}">
              <a16:creationId xmlns:a16="http://schemas.microsoft.com/office/drawing/2014/main" id="{00000000-0008-0000-0100-00001F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68" name="AutoShape 124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569" name="AutoShape 80">
          <a:extLst>
            <a:ext uri="{FF2B5EF4-FFF2-40B4-BE49-F238E27FC236}">
              <a16:creationId xmlns:a16="http://schemas.microsoft.com/office/drawing/2014/main" id="{00000000-0008-0000-0100-000021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0" name="AutoShape 84">
          <a:extLst>
            <a:ext uri="{FF2B5EF4-FFF2-40B4-BE49-F238E27FC236}">
              <a16:creationId xmlns:a16="http://schemas.microsoft.com/office/drawing/2014/main" id="{00000000-0008-0000-0100-000022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1" name="AutoShape 157">
          <a:extLst>
            <a:ext uri="{FF2B5EF4-FFF2-40B4-BE49-F238E27FC236}">
              <a16:creationId xmlns:a16="http://schemas.microsoft.com/office/drawing/2014/main" id="{00000000-0008-0000-0100-000023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2" name="AutoShape 158">
          <a:extLst>
            <a:ext uri="{FF2B5EF4-FFF2-40B4-BE49-F238E27FC236}">
              <a16:creationId xmlns:a16="http://schemas.microsoft.com/office/drawing/2014/main" id="{00000000-0008-0000-0100-000024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3" name="AutoShape 249">
          <a:extLst>
            <a:ext uri="{FF2B5EF4-FFF2-40B4-BE49-F238E27FC236}">
              <a16:creationId xmlns:a16="http://schemas.microsoft.com/office/drawing/2014/main" id="{00000000-0008-0000-0100-000025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4" name="AutoShape 184">
          <a:extLst>
            <a:ext uri="{FF2B5EF4-FFF2-40B4-BE49-F238E27FC236}">
              <a16:creationId xmlns:a16="http://schemas.microsoft.com/office/drawing/2014/main" id="{00000000-0008-0000-0100-000026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5" name="AutoShape 185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6" name="AutoShape 186">
          <a:extLst>
            <a:ext uri="{FF2B5EF4-FFF2-40B4-BE49-F238E27FC236}">
              <a16:creationId xmlns:a16="http://schemas.microsoft.com/office/drawing/2014/main" id="{00000000-0008-0000-0100-000028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7" name="AutoShape 187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8" name="AutoShape 80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79" name="AutoShape 84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0" name="AutoShape 157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1" name="AutoShape 158">
          <a:extLst>
            <a:ext uri="{FF2B5EF4-FFF2-40B4-BE49-F238E27FC236}">
              <a16:creationId xmlns:a16="http://schemas.microsoft.com/office/drawing/2014/main" id="{00000000-0008-0000-0100-00002D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2" name="AutoShape 124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583" name="AutoShape 80">
          <a:extLst>
            <a:ext uri="{FF2B5EF4-FFF2-40B4-BE49-F238E27FC236}">
              <a16:creationId xmlns:a16="http://schemas.microsoft.com/office/drawing/2014/main" id="{00000000-0008-0000-0100-00002F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4" name="AutoShape 84">
          <a:extLst>
            <a:ext uri="{FF2B5EF4-FFF2-40B4-BE49-F238E27FC236}">
              <a16:creationId xmlns:a16="http://schemas.microsoft.com/office/drawing/2014/main" id="{00000000-0008-0000-0100-000030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5" name="AutoShape 157">
          <a:extLst>
            <a:ext uri="{FF2B5EF4-FFF2-40B4-BE49-F238E27FC236}">
              <a16:creationId xmlns:a16="http://schemas.microsoft.com/office/drawing/2014/main" id="{00000000-0008-0000-0100-000031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6" name="AutoShape 158">
          <a:extLst>
            <a:ext uri="{FF2B5EF4-FFF2-40B4-BE49-F238E27FC236}">
              <a16:creationId xmlns:a16="http://schemas.microsoft.com/office/drawing/2014/main" id="{00000000-0008-0000-0100-000032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7" name="AutoShape 249">
          <a:extLst>
            <a:ext uri="{FF2B5EF4-FFF2-40B4-BE49-F238E27FC236}">
              <a16:creationId xmlns:a16="http://schemas.microsoft.com/office/drawing/2014/main" id="{00000000-0008-0000-0100-000033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8" name="AutoShape 184">
          <a:extLst>
            <a:ext uri="{FF2B5EF4-FFF2-40B4-BE49-F238E27FC236}">
              <a16:creationId xmlns:a16="http://schemas.microsoft.com/office/drawing/2014/main" id="{00000000-0008-0000-0100-000034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589" name="AutoShape 185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2" name="AutoShape 186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3" name="AutoShape 187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4" name="AutoShape 80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5" name="AutoShape 84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6" name="AutoShape 157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7" name="AutoShape 158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38" name="AutoShape 124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1639" name="AutoShape 80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0" name="AutoShape 84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1" name="AutoShape 157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2" name="AutoShape 158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3" name="AutoShape 249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4" name="AutoShape 184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1645" name="AutoShape 185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78" name="AutoShape 186">
          <a:extLst>
            <a:ext uri="{FF2B5EF4-FFF2-40B4-BE49-F238E27FC236}">
              <a16:creationId xmlns:a16="http://schemas.microsoft.com/office/drawing/2014/main" id="{00000000-0008-0000-0100-0000EA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79" name="AutoShape 187">
          <a:extLst>
            <a:ext uri="{FF2B5EF4-FFF2-40B4-BE49-F238E27FC236}">
              <a16:creationId xmlns:a16="http://schemas.microsoft.com/office/drawing/2014/main" id="{00000000-0008-0000-0100-0000EB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0" name="AutoShape 80">
          <a:extLst>
            <a:ext uri="{FF2B5EF4-FFF2-40B4-BE49-F238E27FC236}">
              <a16:creationId xmlns:a16="http://schemas.microsoft.com/office/drawing/2014/main" id="{00000000-0008-0000-0100-0000EC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1" name="AutoShape 84">
          <a:extLst>
            <a:ext uri="{FF2B5EF4-FFF2-40B4-BE49-F238E27FC236}">
              <a16:creationId xmlns:a16="http://schemas.microsoft.com/office/drawing/2014/main" id="{00000000-0008-0000-0100-0000ED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2" name="AutoShape 157">
          <a:extLst>
            <a:ext uri="{FF2B5EF4-FFF2-40B4-BE49-F238E27FC236}">
              <a16:creationId xmlns:a16="http://schemas.microsoft.com/office/drawing/2014/main" id="{00000000-0008-0000-0100-0000EE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3" name="AutoShape 158">
          <a:extLst>
            <a:ext uri="{FF2B5EF4-FFF2-40B4-BE49-F238E27FC236}">
              <a16:creationId xmlns:a16="http://schemas.microsoft.com/office/drawing/2014/main" id="{00000000-0008-0000-0100-0000EF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4" name="AutoShape 124">
          <a:extLst>
            <a:ext uri="{FF2B5EF4-FFF2-40B4-BE49-F238E27FC236}">
              <a16:creationId xmlns:a16="http://schemas.microsoft.com/office/drawing/2014/main" id="{00000000-0008-0000-0100-0000F0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6385" name="AutoShape 80">
          <a:extLst>
            <a:ext uri="{FF2B5EF4-FFF2-40B4-BE49-F238E27FC236}">
              <a16:creationId xmlns:a16="http://schemas.microsoft.com/office/drawing/2014/main" id="{00000000-0008-0000-0100-0000F1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6" name="AutoShape 84">
          <a:extLst>
            <a:ext uri="{FF2B5EF4-FFF2-40B4-BE49-F238E27FC236}">
              <a16:creationId xmlns:a16="http://schemas.microsoft.com/office/drawing/2014/main" id="{00000000-0008-0000-0100-0000F2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7" name="AutoShape 157">
          <a:extLst>
            <a:ext uri="{FF2B5EF4-FFF2-40B4-BE49-F238E27FC236}">
              <a16:creationId xmlns:a16="http://schemas.microsoft.com/office/drawing/2014/main" id="{00000000-0008-0000-0100-0000F3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8" name="AutoShape 158">
          <a:extLst>
            <a:ext uri="{FF2B5EF4-FFF2-40B4-BE49-F238E27FC236}">
              <a16:creationId xmlns:a16="http://schemas.microsoft.com/office/drawing/2014/main" id="{00000000-0008-0000-0100-0000F4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89" name="AutoShape 249">
          <a:extLst>
            <a:ext uri="{FF2B5EF4-FFF2-40B4-BE49-F238E27FC236}">
              <a16:creationId xmlns:a16="http://schemas.microsoft.com/office/drawing/2014/main" id="{00000000-0008-0000-0100-0000F5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0" name="AutoShape 184">
          <a:extLst>
            <a:ext uri="{FF2B5EF4-FFF2-40B4-BE49-F238E27FC236}">
              <a16:creationId xmlns:a16="http://schemas.microsoft.com/office/drawing/2014/main" id="{00000000-0008-0000-0100-0000F6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1" name="AutoShape 185">
          <a:extLst>
            <a:ext uri="{FF2B5EF4-FFF2-40B4-BE49-F238E27FC236}">
              <a16:creationId xmlns:a16="http://schemas.microsoft.com/office/drawing/2014/main" id="{00000000-0008-0000-0100-0000F7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2" name="AutoShape 186">
          <a:extLst>
            <a:ext uri="{FF2B5EF4-FFF2-40B4-BE49-F238E27FC236}">
              <a16:creationId xmlns:a16="http://schemas.microsoft.com/office/drawing/2014/main" id="{00000000-0008-0000-0100-0000F8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3" name="AutoShape 187">
          <a:extLst>
            <a:ext uri="{FF2B5EF4-FFF2-40B4-BE49-F238E27FC236}">
              <a16:creationId xmlns:a16="http://schemas.microsoft.com/office/drawing/2014/main" id="{00000000-0008-0000-0100-0000F9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4" name="AutoShape 80">
          <a:extLst>
            <a:ext uri="{FF2B5EF4-FFF2-40B4-BE49-F238E27FC236}">
              <a16:creationId xmlns:a16="http://schemas.microsoft.com/office/drawing/2014/main" id="{00000000-0008-0000-0100-0000FA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5" name="AutoShape 84">
          <a:extLst>
            <a:ext uri="{FF2B5EF4-FFF2-40B4-BE49-F238E27FC236}">
              <a16:creationId xmlns:a16="http://schemas.microsoft.com/office/drawing/2014/main" id="{00000000-0008-0000-0100-0000FB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6" name="AutoShape 157">
          <a:extLst>
            <a:ext uri="{FF2B5EF4-FFF2-40B4-BE49-F238E27FC236}">
              <a16:creationId xmlns:a16="http://schemas.microsoft.com/office/drawing/2014/main" id="{00000000-0008-0000-0100-0000FC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7" name="AutoShape 158">
          <a:extLst>
            <a:ext uri="{FF2B5EF4-FFF2-40B4-BE49-F238E27FC236}">
              <a16:creationId xmlns:a16="http://schemas.microsoft.com/office/drawing/2014/main" id="{00000000-0008-0000-0100-0000FD18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6398" name="AutoShape 124">
          <a:extLst>
            <a:ext uri="{FF2B5EF4-FFF2-40B4-BE49-F238E27FC236}">
              <a16:creationId xmlns:a16="http://schemas.microsoft.com/office/drawing/2014/main" id="{00000000-0008-0000-0100-0000FE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20</xdr:col>
      <xdr:colOff>0</xdr:colOff>
      <xdr:row>131</xdr:row>
      <xdr:rowOff>0</xdr:rowOff>
    </xdr:to>
    <xdr:sp macro="" textlink="">
      <xdr:nvSpPr>
        <xdr:cNvPr id="6399" name="AutoShape 80">
          <a:extLst>
            <a:ext uri="{FF2B5EF4-FFF2-40B4-BE49-F238E27FC236}">
              <a16:creationId xmlns:a16="http://schemas.microsoft.com/office/drawing/2014/main" id="{00000000-0008-0000-0100-0000FF18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556" name="AutoShape 84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557" name="AutoShape 157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558" name="AutoShape 158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2559" name="AutoShape 249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3648" name="AutoShape 184">
          <a:extLst>
            <a:ext uri="{FF2B5EF4-FFF2-40B4-BE49-F238E27FC236}">
              <a16:creationId xmlns:a16="http://schemas.microsoft.com/office/drawing/2014/main" id="{00000000-0008-0000-0100-000040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3649" name="AutoShape 185">
          <a:extLst>
            <a:ext uri="{FF2B5EF4-FFF2-40B4-BE49-F238E27FC236}">
              <a16:creationId xmlns:a16="http://schemas.microsoft.com/office/drawing/2014/main" id="{00000000-0008-0000-0100-000041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3650" name="AutoShape 186">
          <a:extLst>
            <a:ext uri="{FF2B5EF4-FFF2-40B4-BE49-F238E27FC236}">
              <a16:creationId xmlns:a16="http://schemas.microsoft.com/office/drawing/2014/main" id="{00000000-0008-0000-0100-000042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131</xdr:row>
      <xdr:rowOff>0</xdr:rowOff>
    </xdr:from>
    <xdr:to>
      <xdr:col>19</xdr:col>
      <xdr:colOff>495300</xdr:colOff>
      <xdr:row>131</xdr:row>
      <xdr:rowOff>0</xdr:rowOff>
    </xdr:to>
    <xdr:sp macro="" textlink="">
      <xdr:nvSpPr>
        <xdr:cNvPr id="3651" name="AutoShape 187">
          <a:extLst>
            <a:ext uri="{FF2B5EF4-FFF2-40B4-BE49-F238E27FC236}">
              <a16:creationId xmlns:a16="http://schemas.microsoft.com/office/drawing/2014/main" id="{00000000-0008-0000-0100-000043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2" name="AutoShape 80">
          <a:extLst>
            <a:ext uri="{FF2B5EF4-FFF2-40B4-BE49-F238E27FC236}">
              <a16:creationId xmlns:a16="http://schemas.microsoft.com/office/drawing/2014/main" id="{00000000-0008-0000-0100-000044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3" name="AutoShape 84">
          <a:extLst>
            <a:ext uri="{FF2B5EF4-FFF2-40B4-BE49-F238E27FC236}">
              <a16:creationId xmlns:a16="http://schemas.microsoft.com/office/drawing/2014/main" id="{00000000-0008-0000-0100-000045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4" name="AutoShape 157">
          <a:extLst>
            <a:ext uri="{FF2B5EF4-FFF2-40B4-BE49-F238E27FC236}">
              <a16:creationId xmlns:a16="http://schemas.microsoft.com/office/drawing/2014/main" id="{00000000-0008-0000-0100-000046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5" name="AutoShape 158">
          <a:extLst>
            <a:ext uri="{FF2B5EF4-FFF2-40B4-BE49-F238E27FC236}">
              <a16:creationId xmlns:a16="http://schemas.microsoft.com/office/drawing/2014/main" id="{00000000-0008-0000-0100-000047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6" name="AutoShape 124">
          <a:extLst>
            <a:ext uri="{FF2B5EF4-FFF2-40B4-BE49-F238E27FC236}">
              <a16:creationId xmlns:a16="http://schemas.microsoft.com/office/drawing/2014/main" id="{00000000-0008-0000-0100-000048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657" name="AutoShape 80">
          <a:extLst>
            <a:ext uri="{FF2B5EF4-FFF2-40B4-BE49-F238E27FC236}">
              <a16:creationId xmlns:a16="http://schemas.microsoft.com/office/drawing/2014/main" id="{00000000-0008-0000-0100-000049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8" name="AutoShape 84">
          <a:extLst>
            <a:ext uri="{FF2B5EF4-FFF2-40B4-BE49-F238E27FC236}">
              <a16:creationId xmlns:a16="http://schemas.microsoft.com/office/drawing/2014/main" id="{00000000-0008-0000-0100-00004A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59" name="AutoShape 157">
          <a:extLst>
            <a:ext uri="{FF2B5EF4-FFF2-40B4-BE49-F238E27FC236}">
              <a16:creationId xmlns:a16="http://schemas.microsoft.com/office/drawing/2014/main" id="{00000000-0008-0000-0100-00004B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60" name="AutoShape 158">
          <a:extLst>
            <a:ext uri="{FF2B5EF4-FFF2-40B4-BE49-F238E27FC236}">
              <a16:creationId xmlns:a16="http://schemas.microsoft.com/office/drawing/2014/main" id="{00000000-0008-0000-0100-00004C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661" name="AutoShape 249">
          <a:extLst>
            <a:ext uri="{FF2B5EF4-FFF2-40B4-BE49-F238E27FC236}">
              <a16:creationId xmlns:a16="http://schemas.microsoft.com/office/drawing/2014/main" id="{00000000-0008-0000-0100-00004D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4" name="AutoShape 184">
          <a:extLst>
            <a:ext uri="{FF2B5EF4-FFF2-40B4-BE49-F238E27FC236}">
              <a16:creationId xmlns:a16="http://schemas.microsoft.com/office/drawing/2014/main" id="{00000000-0008-0000-0100-000078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5" name="AutoShape 185">
          <a:extLst>
            <a:ext uri="{FF2B5EF4-FFF2-40B4-BE49-F238E27FC236}">
              <a16:creationId xmlns:a16="http://schemas.microsoft.com/office/drawing/2014/main" id="{00000000-0008-0000-0100-000079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6" name="AutoShape 186">
          <a:extLst>
            <a:ext uri="{FF2B5EF4-FFF2-40B4-BE49-F238E27FC236}">
              <a16:creationId xmlns:a16="http://schemas.microsoft.com/office/drawing/2014/main" id="{00000000-0008-0000-0100-00007A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7" name="AutoShape 187">
          <a:extLst>
            <a:ext uri="{FF2B5EF4-FFF2-40B4-BE49-F238E27FC236}">
              <a16:creationId xmlns:a16="http://schemas.microsoft.com/office/drawing/2014/main" id="{00000000-0008-0000-0100-00007B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8" name="AutoShape 80">
          <a:extLst>
            <a:ext uri="{FF2B5EF4-FFF2-40B4-BE49-F238E27FC236}">
              <a16:creationId xmlns:a16="http://schemas.microsoft.com/office/drawing/2014/main" id="{00000000-0008-0000-0100-00007C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09" name="AutoShape 84">
          <a:extLst>
            <a:ext uri="{FF2B5EF4-FFF2-40B4-BE49-F238E27FC236}">
              <a16:creationId xmlns:a16="http://schemas.microsoft.com/office/drawing/2014/main" id="{00000000-0008-0000-0100-00007D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0" name="AutoShape 157">
          <a:extLst>
            <a:ext uri="{FF2B5EF4-FFF2-40B4-BE49-F238E27FC236}">
              <a16:creationId xmlns:a16="http://schemas.microsoft.com/office/drawing/2014/main" id="{00000000-0008-0000-0100-00007E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1" name="AutoShape 158">
          <a:extLst>
            <a:ext uri="{FF2B5EF4-FFF2-40B4-BE49-F238E27FC236}">
              <a16:creationId xmlns:a16="http://schemas.microsoft.com/office/drawing/2014/main" id="{00000000-0008-0000-0100-00007F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2" name="AutoShape 124">
          <a:extLst>
            <a:ext uri="{FF2B5EF4-FFF2-40B4-BE49-F238E27FC236}">
              <a16:creationId xmlns:a16="http://schemas.microsoft.com/office/drawing/2014/main" id="{00000000-0008-0000-0100-000080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713" name="AutoShape 80">
          <a:extLst>
            <a:ext uri="{FF2B5EF4-FFF2-40B4-BE49-F238E27FC236}">
              <a16:creationId xmlns:a16="http://schemas.microsoft.com/office/drawing/2014/main" id="{00000000-0008-0000-0100-000081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4" name="AutoShape 84">
          <a:extLst>
            <a:ext uri="{FF2B5EF4-FFF2-40B4-BE49-F238E27FC236}">
              <a16:creationId xmlns:a16="http://schemas.microsoft.com/office/drawing/2014/main" id="{00000000-0008-0000-0100-000082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5" name="AutoShape 157">
          <a:extLst>
            <a:ext uri="{FF2B5EF4-FFF2-40B4-BE49-F238E27FC236}">
              <a16:creationId xmlns:a16="http://schemas.microsoft.com/office/drawing/2014/main" id="{00000000-0008-0000-0100-000083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6" name="AutoShape 158">
          <a:extLst>
            <a:ext uri="{FF2B5EF4-FFF2-40B4-BE49-F238E27FC236}">
              <a16:creationId xmlns:a16="http://schemas.microsoft.com/office/drawing/2014/main" id="{00000000-0008-0000-0100-000084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7" name="AutoShape 249">
          <a:extLst>
            <a:ext uri="{FF2B5EF4-FFF2-40B4-BE49-F238E27FC236}">
              <a16:creationId xmlns:a16="http://schemas.microsoft.com/office/drawing/2014/main" id="{00000000-0008-0000-0100-000085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8" name="AutoShape 184">
          <a:extLst>
            <a:ext uri="{FF2B5EF4-FFF2-40B4-BE49-F238E27FC236}">
              <a16:creationId xmlns:a16="http://schemas.microsoft.com/office/drawing/2014/main" id="{00000000-0008-0000-0100-000086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19" name="AutoShape 185">
          <a:extLst>
            <a:ext uri="{FF2B5EF4-FFF2-40B4-BE49-F238E27FC236}">
              <a16:creationId xmlns:a16="http://schemas.microsoft.com/office/drawing/2014/main" id="{00000000-0008-0000-0100-000087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0" name="AutoShape 186">
          <a:extLst>
            <a:ext uri="{FF2B5EF4-FFF2-40B4-BE49-F238E27FC236}">
              <a16:creationId xmlns:a16="http://schemas.microsoft.com/office/drawing/2014/main" id="{00000000-0008-0000-0100-000088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1" name="AutoShape 187">
          <a:extLst>
            <a:ext uri="{FF2B5EF4-FFF2-40B4-BE49-F238E27FC236}">
              <a16:creationId xmlns:a16="http://schemas.microsoft.com/office/drawing/2014/main" id="{00000000-0008-0000-0100-000089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2" name="AutoShape 80">
          <a:extLst>
            <a:ext uri="{FF2B5EF4-FFF2-40B4-BE49-F238E27FC236}">
              <a16:creationId xmlns:a16="http://schemas.microsoft.com/office/drawing/2014/main" id="{00000000-0008-0000-0100-00008A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3" name="AutoShape 84">
          <a:extLst>
            <a:ext uri="{FF2B5EF4-FFF2-40B4-BE49-F238E27FC236}">
              <a16:creationId xmlns:a16="http://schemas.microsoft.com/office/drawing/2014/main" id="{00000000-0008-0000-0100-00008B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4" name="AutoShape 157">
          <a:extLst>
            <a:ext uri="{FF2B5EF4-FFF2-40B4-BE49-F238E27FC236}">
              <a16:creationId xmlns:a16="http://schemas.microsoft.com/office/drawing/2014/main" id="{00000000-0008-0000-0100-00008C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5" name="AutoShape 158">
          <a:extLst>
            <a:ext uri="{FF2B5EF4-FFF2-40B4-BE49-F238E27FC236}">
              <a16:creationId xmlns:a16="http://schemas.microsoft.com/office/drawing/2014/main" id="{00000000-0008-0000-0100-00008D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6" name="AutoShape 124">
          <a:extLst>
            <a:ext uri="{FF2B5EF4-FFF2-40B4-BE49-F238E27FC236}">
              <a16:creationId xmlns:a16="http://schemas.microsoft.com/office/drawing/2014/main" id="{00000000-0008-0000-0100-00008E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727" name="AutoShape 80">
          <a:extLst>
            <a:ext uri="{FF2B5EF4-FFF2-40B4-BE49-F238E27FC236}">
              <a16:creationId xmlns:a16="http://schemas.microsoft.com/office/drawing/2014/main" id="{00000000-0008-0000-0100-00008F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8" name="AutoShape 84">
          <a:extLst>
            <a:ext uri="{FF2B5EF4-FFF2-40B4-BE49-F238E27FC236}">
              <a16:creationId xmlns:a16="http://schemas.microsoft.com/office/drawing/2014/main" id="{00000000-0008-0000-0100-000090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29" name="AutoShape 157">
          <a:extLst>
            <a:ext uri="{FF2B5EF4-FFF2-40B4-BE49-F238E27FC236}">
              <a16:creationId xmlns:a16="http://schemas.microsoft.com/office/drawing/2014/main" id="{00000000-0008-0000-0100-000091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30" name="AutoShape 158">
          <a:extLst>
            <a:ext uri="{FF2B5EF4-FFF2-40B4-BE49-F238E27FC236}">
              <a16:creationId xmlns:a16="http://schemas.microsoft.com/office/drawing/2014/main" id="{00000000-0008-0000-0100-000092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31" name="AutoShape 249">
          <a:extLst>
            <a:ext uri="{FF2B5EF4-FFF2-40B4-BE49-F238E27FC236}">
              <a16:creationId xmlns:a16="http://schemas.microsoft.com/office/drawing/2014/main" id="{00000000-0008-0000-0100-000093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88" name="AutoShape 184">
          <a:extLst>
            <a:ext uri="{FF2B5EF4-FFF2-40B4-BE49-F238E27FC236}">
              <a16:creationId xmlns:a16="http://schemas.microsoft.com/office/drawing/2014/main" id="{00000000-0008-0000-0100-0000CC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89" name="AutoShape 185">
          <a:extLst>
            <a:ext uri="{FF2B5EF4-FFF2-40B4-BE49-F238E27FC236}">
              <a16:creationId xmlns:a16="http://schemas.microsoft.com/office/drawing/2014/main" id="{00000000-0008-0000-0100-0000CD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0" name="AutoShape 186">
          <a:extLst>
            <a:ext uri="{FF2B5EF4-FFF2-40B4-BE49-F238E27FC236}">
              <a16:creationId xmlns:a16="http://schemas.microsoft.com/office/drawing/2014/main" id="{00000000-0008-0000-0100-0000CE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1" name="AutoShape 187">
          <a:extLst>
            <a:ext uri="{FF2B5EF4-FFF2-40B4-BE49-F238E27FC236}">
              <a16:creationId xmlns:a16="http://schemas.microsoft.com/office/drawing/2014/main" id="{00000000-0008-0000-0100-0000CF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2" name="AutoShape 80">
          <a:extLst>
            <a:ext uri="{FF2B5EF4-FFF2-40B4-BE49-F238E27FC236}">
              <a16:creationId xmlns:a16="http://schemas.microsoft.com/office/drawing/2014/main" id="{00000000-0008-0000-0100-0000D0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3" name="AutoShape 84">
          <a:extLst>
            <a:ext uri="{FF2B5EF4-FFF2-40B4-BE49-F238E27FC236}">
              <a16:creationId xmlns:a16="http://schemas.microsoft.com/office/drawing/2014/main" id="{00000000-0008-0000-0100-0000D1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4" name="AutoShape 157">
          <a:extLst>
            <a:ext uri="{FF2B5EF4-FFF2-40B4-BE49-F238E27FC236}">
              <a16:creationId xmlns:a16="http://schemas.microsoft.com/office/drawing/2014/main" id="{00000000-0008-0000-0100-0000D2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5" name="AutoShape 158">
          <a:extLst>
            <a:ext uri="{FF2B5EF4-FFF2-40B4-BE49-F238E27FC236}">
              <a16:creationId xmlns:a16="http://schemas.microsoft.com/office/drawing/2014/main" id="{00000000-0008-0000-0100-0000D3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6" name="AutoShape 124">
          <a:extLst>
            <a:ext uri="{FF2B5EF4-FFF2-40B4-BE49-F238E27FC236}">
              <a16:creationId xmlns:a16="http://schemas.microsoft.com/office/drawing/2014/main" id="{00000000-0008-0000-0100-0000D4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797" name="AutoShape 80">
          <a:extLst>
            <a:ext uri="{FF2B5EF4-FFF2-40B4-BE49-F238E27FC236}">
              <a16:creationId xmlns:a16="http://schemas.microsoft.com/office/drawing/2014/main" id="{00000000-0008-0000-0100-0000D5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8" name="AutoShape 84">
          <a:extLst>
            <a:ext uri="{FF2B5EF4-FFF2-40B4-BE49-F238E27FC236}">
              <a16:creationId xmlns:a16="http://schemas.microsoft.com/office/drawing/2014/main" id="{00000000-0008-0000-0100-0000D6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799" name="AutoShape 157">
          <a:extLst>
            <a:ext uri="{FF2B5EF4-FFF2-40B4-BE49-F238E27FC236}">
              <a16:creationId xmlns:a16="http://schemas.microsoft.com/office/drawing/2014/main" id="{00000000-0008-0000-0100-0000D7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0" name="AutoShape 158">
          <a:extLst>
            <a:ext uri="{FF2B5EF4-FFF2-40B4-BE49-F238E27FC236}">
              <a16:creationId xmlns:a16="http://schemas.microsoft.com/office/drawing/2014/main" id="{00000000-0008-0000-0100-0000D8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1" name="AutoShape 249">
          <a:extLst>
            <a:ext uri="{FF2B5EF4-FFF2-40B4-BE49-F238E27FC236}">
              <a16:creationId xmlns:a16="http://schemas.microsoft.com/office/drawing/2014/main" id="{00000000-0008-0000-0100-0000D9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2" name="AutoShape 184">
          <a:extLst>
            <a:ext uri="{FF2B5EF4-FFF2-40B4-BE49-F238E27FC236}">
              <a16:creationId xmlns:a16="http://schemas.microsoft.com/office/drawing/2014/main" id="{00000000-0008-0000-0100-0000DA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3" name="AutoShape 185">
          <a:extLst>
            <a:ext uri="{FF2B5EF4-FFF2-40B4-BE49-F238E27FC236}">
              <a16:creationId xmlns:a16="http://schemas.microsoft.com/office/drawing/2014/main" id="{00000000-0008-0000-0100-0000DB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4" name="AutoShape 186">
          <a:extLst>
            <a:ext uri="{FF2B5EF4-FFF2-40B4-BE49-F238E27FC236}">
              <a16:creationId xmlns:a16="http://schemas.microsoft.com/office/drawing/2014/main" id="{00000000-0008-0000-0100-0000DC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5" name="AutoShape 187">
          <a:extLst>
            <a:ext uri="{FF2B5EF4-FFF2-40B4-BE49-F238E27FC236}">
              <a16:creationId xmlns:a16="http://schemas.microsoft.com/office/drawing/2014/main" id="{00000000-0008-0000-0100-0000DD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6" name="AutoShape 80">
          <a:extLst>
            <a:ext uri="{FF2B5EF4-FFF2-40B4-BE49-F238E27FC236}">
              <a16:creationId xmlns:a16="http://schemas.microsoft.com/office/drawing/2014/main" id="{00000000-0008-0000-0100-0000DE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7" name="AutoShape 84">
          <a:extLst>
            <a:ext uri="{FF2B5EF4-FFF2-40B4-BE49-F238E27FC236}">
              <a16:creationId xmlns:a16="http://schemas.microsoft.com/office/drawing/2014/main" id="{00000000-0008-0000-0100-0000DF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8" name="AutoShape 157">
          <a:extLst>
            <a:ext uri="{FF2B5EF4-FFF2-40B4-BE49-F238E27FC236}">
              <a16:creationId xmlns:a16="http://schemas.microsoft.com/office/drawing/2014/main" id="{00000000-0008-0000-0100-0000E0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09" name="AutoShape 158">
          <a:extLst>
            <a:ext uri="{FF2B5EF4-FFF2-40B4-BE49-F238E27FC236}">
              <a16:creationId xmlns:a16="http://schemas.microsoft.com/office/drawing/2014/main" id="{00000000-0008-0000-0100-0000E1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10" name="AutoShape 124">
          <a:extLst>
            <a:ext uri="{FF2B5EF4-FFF2-40B4-BE49-F238E27FC236}">
              <a16:creationId xmlns:a16="http://schemas.microsoft.com/office/drawing/2014/main" id="{00000000-0008-0000-0100-0000E2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811" name="AutoShape 80">
          <a:extLst>
            <a:ext uri="{FF2B5EF4-FFF2-40B4-BE49-F238E27FC236}">
              <a16:creationId xmlns:a16="http://schemas.microsoft.com/office/drawing/2014/main" id="{00000000-0008-0000-0100-0000E3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12" name="AutoShape 84">
          <a:extLst>
            <a:ext uri="{FF2B5EF4-FFF2-40B4-BE49-F238E27FC236}">
              <a16:creationId xmlns:a16="http://schemas.microsoft.com/office/drawing/2014/main" id="{00000000-0008-0000-0100-0000E4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13" name="AutoShape 157">
          <a:extLst>
            <a:ext uri="{FF2B5EF4-FFF2-40B4-BE49-F238E27FC236}">
              <a16:creationId xmlns:a16="http://schemas.microsoft.com/office/drawing/2014/main" id="{00000000-0008-0000-0100-0000E5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14" name="AutoShape 158">
          <a:extLst>
            <a:ext uri="{FF2B5EF4-FFF2-40B4-BE49-F238E27FC236}">
              <a16:creationId xmlns:a16="http://schemas.microsoft.com/office/drawing/2014/main" id="{00000000-0008-0000-0100-0000E60E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15" name="AutoShape 249">
          <a:extLst>
            <a:ext uri="{FF2B5EF4-FFF2-40B4-BE49-F238E27FC236}">
              <a16:creationId xmlns:a16="http://schemas.microsoft.com/office/drawing/2014/main" id="{00000000-0008-0000-0100-0000E70E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58" name="AutoShape 184">
          <a:extLst>
            <a:ext uri="{FF2B5EF4-FFF2-40B4-BE49-F238E27FC236}">
              <a16:creationId xmlns:a16="http://schemas.microsoft.com/office/drawing/2014/main" id="{00000000-0008-0000-0100-000012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59" name="AutoShape 185">
          <a:extLst>
            <a:ext uri="{FF2B5EF4-FFF2-40B4-BE49-F238E27FC236}">
              <a16:creationId xmlns:a16="http://schemas.microsoft.com/office/drawing/2014/main" id="{00000000-0008-0000-0100-000013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0" name="AutoShape 186">
          <a:extLst>
            <a:ext uri="{FF2B5EF4-FFF2-40B4-BE49-F238E27FC236}">
              <a16:creationId xmlns:a16="http://schemas.microsoft.com/office/drawing/2014/main" id="{00000000-0008-0000-0100-000014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1" name="AutoShape 187">
          <a:extLst>
            <a:ext uri="{FF2B5EF4-FFF2-40B4-BE49-F238E27FC236}">
              <a16:creationId xmlns:a16="http://schemas.microsoft.com/office/drawing/2014/main" id="{00000000-0008-0000-0100-000015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2" name="AutoShape 80">
          <a:extLst>
            <a:ext uri="{FF2B5EF4-FFF2-40B4-BE49-F238E27FC236}">
              <a16:creationId xmlns:a16="http://schemas.microsoft.com/office/drawing/2014/main" id="{00000000-0008-0000-0100-000016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3" name="AutoShape 84">
          <a:extLst>
            <a:ext uri="{FF2B5EF4-FFF2-40B4-BE49-F238E27FC236}">
              <a16:creationId xmlns:a16="http://schemas.microsoft.com/office/drawing/2014/main" id="{00000000-0008-0000-0100-000017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4" name="AutoShape 157">
          <a:extLst>
            <a:ext uri="{FF2B5EF4-FFF2-40B4-BE49-F238E27FC236}">
              <a16:creationId xmlns:a16="http://schemas.microsoft.com/office/drawing/2014/main" id="{00000000-0008-0000-0100-000018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5" name="AutoShape 158">
          <a:extLst>
            <a:ext uri="{FF2B5EF4-FFF2-40B4-BE49-F238E27FC236}">
              <a16:creationId xmlns:a16="http://schemas.microsoft.com/office/drawing/2014/main" id="{00000000-0008-0000-0100-000019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6" name="AutoShape 124">
          <a:extLst>
            <a:ext uri="{FF2B5EF4-FFF2-40B4-BE49-F238E27FC236}">
              <a16:creationId xmlns:a16="http://schemas.microsoft.com/office/drawing/2014/main" id="{00000000-0008-0000-0100-00001A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867" name="AutoShape 80">
          <a:extLst>
            <a:ext uri="{FF2B5EF4-FFF2-40B4-BE49-F238E27FC236}">
              <a16:creationId xmlns:a16="http://schemas.microsoft.com/office/drawing/2014/main" id="{00000000-0008-0000-0100-00001B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8" name="AutoShape 84">
          <a:extLst>
            <a:ext uri="{FF2B5EF4-FFF2-40B4-BE49-F238E27FC236}">
              <a16:creationId xmlns:a16="http://schemas.microsoft.com/office/drawing/2014/main" id="{00000000-0008-0000-0100-00001C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69" name="AutoShape 157">
          <a:extLst>
            <a:ext uri="{FF2B5EF4-FFF2-40B4-BE49-F238E27FC236}">
              <a16:creationId xmlns:a16="http://schemas.microsoft.com/office/drawing/2014/main" id="{00000000-0008-0000-0100-00001D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0" name="AutoShape 158">
          <a:extLst>
            <a:ext uri="{FF2B5EF4-FFF2-40B4-BE49-F238E27FC236}">
              <a16:creationId xmlns:a16="http://schemas.microsoft.com/office/drawing/2014/main" id="{00000000-0008-0000-0100-00001E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1" name="AutoShape 249">
          <a:extLst>
            <a:ext uri="{FF2B5EF4-FFF2-40B4-BE49-F238E27FC236}">
              <a16:creationId xmlns:a16="http://schemas.microsoft.com/office/drawing/2014/main" id="{00000000-0008-0000-0100-00001F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2" name="AutoShape 184">
          <a:extLst>
            <a:ext uri="{FF2B5EF4-FFF2-40B4-BE49-F238E27FC236}">
              <a16:creationId xmlns:a16="http://schemas.microsoft.com/office/drawing/2014/main" id="{00000000-0008-0000-0100-000020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3" name="AutoShape 185">
          <a:extLst>
            <a:ext uri="{FF2B5EF4-FFF2-40B4-BE49-F238E27FC236}">
              <a16:creationId xmlns:a16="http://schemas.microsoft.com/office/drawing/2014/main" id="{00000000-0008-0000-0100-000021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4" name="AutoShape 186">
          <a:extLst>
            <a:ext uri="{FF2B5EF4-FFF2-40B4-BE49-F238E27FC236}">
              <a16:creationId xmlns:a16="http://schemas.microsoft.com/office/drawing/2014/main" id="{00000000-0008-0000-0100-000022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5" name="AutoShape 187">
          <a:extLst>
            <a:ext uri="{FF2B5EF4-FFF2-40B4-BE49-F238E27FC236}">
              <a16:creationId xmlns:a16="http://schemas.microsoft.com/office/drawing/2014/main" id="{00000000-0008-0000-0100-000023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6" name="AutoShape 80">
          <a:extLst>
            <a:ext uri="{FF2B5EF4-FFF2-40B4-BE49-F238E27FC236}">
              <a16:creationId xmlns:a16="http://schemas.microsoft.com/office/drawing/2014/main" id="{00000000-0008-0000-0100-000024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7" name="AutoShape 84">
          <a:extLst>
            <a:ext uri="{FF2B5EF4-FFF2-40B4-BE49-F238E27FC236}">
              <a16:creationId xmlns:a16="http://schemas.microsoft.com/office/drawing/2014/main" id="{00000000-0008-0000-0100-000025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8" name="AutoShape 157">
          <a:extLst>
            <a:ext uri="{FF2B5EF4-FFF2-40B4-BE49-F238E27FC236}">
              <a16:creationId xmlns:a16="http://schemas.microsoft.com/office/drawing/2014/main" id="{00000000-0008-0000-0100-000026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79" name="AutoShape 158">
          <a:extLst>
            <a:ext uri="{FF2B5EF4-FFF2-40B4-BE49-F238E27FC236}">
              <a16:creationId xmlns:a16="http://schemas.microsoft.com/office/drawing/2014/main" id="{00000000-0008-0000-0100-000027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0" name="AutoShape 124">
          <a:extLst>
            <a:ext uri="{FF2B5EF4-FFF2-40B4-BE49-F238E27FC236}">
              <a16:creationId xmlns:a16="http://schemas.microsoft.com/office/drawing/2014/main" id="{00000000-0008-0000-0100-000028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881" name="AutoShape 80">
          <a:extLst>
            <a:ext uri="{FF2B5EF4-FFF2-40B4-BE49-F238E27FC236}">
              <a16:creationId xmlns:a16="http://schemas.microsoft.com/office/drawing/2014/main" id="{00000000-0008-0000-0100-000029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2" name="AutoShape 84">
          <a:extLst>
            <a:ext uri="{FF2B5EF4-FFF2-40B4-BE49-F238E27FC236}">
              <a16:creationId xmlns:a16="http://schemas.microsoft.com/office/drawing/2014/main" id="{00000000-0008-0000-0100-00002A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3" name="AutoShape 157">
          <a:extLst>
            <a:ext uri="{FF2B5EF4-FFF2-40B4-BE49-F238E27FC236}">
              <a16:creationId xmlns:a16="http://schemas.microsoft.com/office/drawing/2014/main" id="{00000000-0008-0000-0100-00002B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4" name="AutoShape 158">
          <a:extLst>
            <a:ext uri="{FF2B5EF4-FFF2-40B4-BE49-F238E27FC236}">
              <a16:creationId xmlns:a16="http://schemas.microsoft.com/office/drawing/2014/main" id="{00000000-0008-0000-0100-00002C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5" name="AutoShape 249">
          <a:extLst>
            <a:ext uri="{FF2B5EF4-FFF2-40B4-BE49-F238E27FC236}">
              <a16:creationId xmlns:a16="http://schemas.microsoft.com/office/drawing/2014/main" id="{00000000-0008-0000-0100-00002D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6" name="AutoShape 184">
          <a:extLst>
            <a:ext uri="{FF2B5EF4-FFF2-40B4-BE49-F238E27FC236}">
              <a16:creationId xmlns:a16="http://schemas.microsoft.com/office/drawing/2014/main" id="{00000000-0008-0000-0100-00002E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7" name="AutoShape 185">
          <a:extLst>
            <a:ext uri="{FF2B5EF4-FFF2-40B4-BE49-F238E27FC236}">
              <a16:creationId xmlns:a16="http://schemas.microsoft.com/office/drawing/2014/main" id="{00000000-0008-0000-0100-00002F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8" name="AutoShape 186">
          <a:extLst>
            <a:ext uri="{FF2B5EF4-FFF2-40B4-BE49-F238E27FC236}">
              <a16:creationId xmlns:a16="http://schemas.microsoft.com/office/drawing/2014/main" id="{00000000-0008-0000-0100-000030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89" name="AutoShape 187">
          <a:extLst>
            <a:ext uri="{FF2B5EF4-FFF2-40B4-BE49-F238E27FC236}">
              <a16:creationId xmlns:a16="http://schemas.microsoft.com/office/drawing/2014/main" id="{00000000-0008-0000-0100-000031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0" name="AutoShape 80">
          <a:extLst>
            <a:ext uri="{FF2B5EF4-FFF2-40B4-BE49-F238E27FC236}">
              <a16:creationId xmlns:a16="http://schemas.microsoft.com/office/drawing/2014/main" id="{00000000-0008-0000-0100-000032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1" name="AutoShape 84">
          <a:extLst>
            <a:ext uri="{FF2B5EF4-FFF2-40B4-BE49-F238E27FC236}">
              <a16:creationId xmlns:a16="http://schemas.microsoft.com/office/drawing/2014/main" id="{00000000-0008-0000-0100-000033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2" name="AutoShape 157">
          <a:extLst>
            <a:ext uri="{FF2B5EF4-FFF2-40B4-BE49-F238E27FC236}">
              <a16:creationId xmlns:a16="http://schemas.microsoft.com/office/drawing/2014/main" id="{00000000-0008-0000-0100-000034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3" name="AutoShape 158">
          <a:extLst>
            <a:ext uri="{FF2B5EF4-FFF2-40B4-BE49-F238E27FC236}">
              <a16:creationId xmlns:a16="http://schemas.microsoft.com/office/drawing/2014/main" id="{00000000-0008-0000-0100-000035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4" name="AutoShape 124">
          <a:extLst>
            <a:ext uri="{FF2B5EF4-FFF2-40B4-BE49-F238E27FC236}">
              <a16:creationId xmlns:a16="http://schemas.microsoft.com/office/drawing/2014/main" id="{00000000-0008-0000-0100-000036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3895" name="AutoShape 80">
          <a:extLst>
            <a:ext uri="{FF2B5EF4-FFF2-40B4-BE49-F238E27FC236}">
              <a16:creationId xmlns:a16="http://schemas.microsoft.com/office/drawing/2014/main" id="{00000000-0008-0000-0100-000037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6" name="AutoShape 84">
          <a:extLst>
            <a:ext uri="{FF2B5EF4-FFF2-40B4-BE49-F238E27FC236}">
              <a16:creationId xmlns:a16="http://schemas.microsoft.com/office/drawing/2014/main" id="{00000000-0008-0000-0100-000038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7" name="AutoShape 157">
          <a:extLst>
            <a:ext uri="{FF2B5EF4-FFF2-40B4-BE49-F238E27FC236}">
              <a16:creationId xmlns:a16="http://schemas.microsoft.com/office/drawing/2014/main" id="{00000000-0008-0000-0100-000039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8" name="AutoShape 158">
          <a:extLst>
            <a:ext uri="{FF2B5EF4-FFF2-40B4-BE49-F238E27FC236}">
              <a16:creationId xmlns:a16="http://schemas.microsoft.com/office/drawing/2014/main" id="{00000000-0008-0000-0100-00003A0F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3899" name="AutoShape 249">
          <a:extLst>
            <a:ext uri="{FF2B5EF4-FFF2-40B4-BE49-F238E27FC236}">
              <a16:creationId xmlns:a16="http://schemas.microsoft.com/office/drawing/2014/main" id="{00000000-0008-0000-0100-00003B0F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0" name="AutoShape 184">
          <a:extLst>
            <a:ext uri="{FF2B5EF4-FFF2-40B4-BE49-F238E27FC236}">
              <a16:creationId xmlns:a16="http://schemas.microsoft.com/office/drawing/2014/main" id="{00000000-0008-0000-0100-00000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1" name="AutoShape 185">
          <a:extLst>
            <a:ext uri="{FF2B5EF4-FFF2-40B4-BE49-F238E27FC236}">
              <a16:creationId xmlns:a16="http://schemas.microsoft.com/office/drawing/2014/main" id="{00000000-0008-0000-0100-00000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2" name="AutoShape 186">
          <a:extLst>
            <a:ext uri="{FF2B5EF4-FFF2-40B4-BE49-F238E27FC236}">
              <a16:creationId xmlns:a16="http://schemas.microsoft.com/office/drawing/2014/main" id="{00000000-0008-0000-0100-00000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3" name="AutoShape 187">
          <a:extLst>
            <a:ext uri="{FF2B5EF4-FFF2-40B4-BE49-F238E27FC236}">
              <a16:creationId xmlns:a16="http://schemas.microsoft.com/office/drawing/2014/main" id="{00000000-0008-0000-0100-00000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4" name="AutoShape 80">
          <a:extLst>
            <a:ext uri="{FF2B5EF4-FFF2-40B4-BE49-F238E27FC236}">
              <a16:creationId xmlns:a16="http://schemas.microsoft.com/office/drawing/2014/main" id="{00000000-0008-0000-0100-00000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5" name="AutoShape 84">
          <a:extLst>
            <a:ext uri="{FF2B5EF4-FFF2-40B4-BE49-F238E27FC236}">
              <a16:creationId xmlns:a16="http://schemas.microsoft.com/office/drawing/2014/main" id="{00000000-0008-0000-0100-00000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6" name="AutoShape 157">
          <a:extLst>
            <a:ext uri="{FF2B5EF4-FFF2-40B4-BE49-F238E27FC236}">
              <a16:creationId xmlns:a16="http://schemas.microsoft.com/office/drawing/2014/main" id="{00000000-0008-0000-0100-00000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7" name="AutoShape 158">
          <a:extLst>
            <a:ext uri="{FF2B5EF4-FFF2-40B4-BE49-F238E27FC236}">
              <a16:creationId xmlns:a16="http://schemas.microsoft.com/office/drawing/2014/main" id="{00000000-0008-0000-0100-00000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08" name="AutoShape 124">
          <a:extLst>
            <a:ext uri="{FF2B5EF4-FFF2-40B4-BE49-F238E27FC236}">
              <a16:creationId xmlns:a16="http://schemas.microsoft.com/office/drawing/2014/main" id="{00000000-0008-0000-0100-00000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6409" name="AutoShape 80">
          <a:extLst>
            <a:ext uri="{FF2B5EF4-FFF2-40B4-BE49-F238E27FC236}">
              <a16:creationId xmlns:a16="http://schemas.microsoft.com/office/drawing/2014/main" id="{00000000-0008-0000-0100-00000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0" name="AutoShape 84">
          <a:extLst>
            <a:ext uri="{FF2B5EF4-FFF2-40B4-BE49-F238E27FC236}">
              <a16:creationId xmlns:a16="http://schemas.microsoft.com/office/drawing/2014/main" id="{00000000-0008-0000-0100-00000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1" name="AutoShape 157">
          <a:extLst>
            <a:ext uri="{FF2B5EF4-FFF2-40B4-BE49-F238E27FC236}">
              <a16:creationId xmlns:a16="http://schemas.microsoft.com/office/drawing/2014/main" id="{00000000-0008-0000-0100-00000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2" name="AutoShape 158">
          <a:extLst>
            <a:ext uri="{FF2B5EF4-FFF2-40B4-BE49-F238E27FC236}">
              <a16:creationId xmlns:a16="http://schemas.microsoft.com/office/drawing/2014/main" id="{00000000-0008-0000-0100-00000C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3" name="AutoShape 249">
          <a:extLst>
            <a:ext uri="{FF2B5EF4-FFF2-40B4-BE49-F238E27FC236}">
              <a16:creationId xmlns:a16="http://schemas.microsoft.com/office/drawing/2014/main" id="{00000000-0008-0000-0100-00000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4" name="AutoShape 184">
          <a:extLst>
            <a:ext uri="{FF2B5EF4-FFF2-40B4-BE49-F238E27FC236}">
              <a16:creationId xmlns:a16="http://schemas.microsoft.com/office/drawing/2014/main" id="{00000000-0008-0000-0100-00000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5" name="AutoShape 185">
          <a:extLst>
            <a:ext uri="{FF2B5EF4-FFF2-40B4-BE49-F238E27FC236}">
              <a16:creationId xmlns:a16="http://schemas.microsoft.com/office/drawing/2014/main" id="{00000000-0008-0000-0100-00000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6" name="AutoShape 186">
          <a:extLst>
            <a:ext uri="{FF2B5EF4-FFF2-40B4-BE49-F238E27FC236}">
              <a16:creationId xmlns:a16="http://schemas.microsoft.com/office/drawing/2014/main" id="{00000000-0008-0000-0100-00001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138</xdr:row>
      <xdr:rowOff>0</xdr:rowOff>
    </xdr:from>
    <xdr:to>
      <xdr:col>19</xdr:col>
      <xdr:colOff>495300</xdr:colOff>
      <xdr:row>138</xdr:row>
      <xdr:rowOff>0</xdr:rowOff>
    </xdr:to>
    <xdr:sp macro="" textlink="">
      <xdr:nvSpPr>
        <xdr:cNvPr id="6417" name="AutoShape 187">
          <a:extLst>
            <a:ext uri="{FF2B5EF4-FFF2-40B4-BE49-F238E27FC236}">
              <a16:creationId xmlns:a16="http://schemas.microsoft.com/office/drawing/2014/main" id="{00000000-0008-0000-0100-00001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18" name="AutoShape 80">
          <a:extLst>
            <a:ext uri="{FF2B5EF4-FFF2-40B4-BE49-F238E27FC236}">
              <a16:creationId xmlns:a16="http://schemas.microsoft.com/office/drawing/2014/main" id="{00000000-0008-0000-0100-00001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19" name="AutoShape 84">
          <a:extLst>
            <a:ext uri="{FF2B5EF4-FFF2-40B4-BE49-F238E27FC236}">
              <a16:creationId xmlns:a16="http://schemas.microsoft.com/office/drawing/2014/main" id="{00000000-0008-0000-0100-00001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0" name="AutoShape 157">
          <a:extLst>
            <a:ext uri="{FF2B5EF4-FFF2-40B4-BE49-F238E27FC236}">
              <a16:creationId xmlns:a16="http://schemas.microsoft.com/office/drawing/2014/main" id="{00000000-0008-0000-0100-00001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1" name="AutoShape 158">
          <a:extLst>
            <a:ext uri="{FF2B5EF4-FFF2-40B4-BE49-F238E27FC236}">
              <a16:creationId xmlns:a16="http://schemas.microsoft.com/office/drawing/2014/main" id="{00000000-0008-0000-0100-00001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2" name="AutoShape 124">
          <a:extLst>
            <a:ext uri="{FF2B5EF4-FFF2-40B4-BE49-F238E27FC236}">
              <a16:creationId xmlns:a16="http://schemas.microsoft.com/office/drawing/2014/main" id="{00000000-0008-0000-0100-00001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23" name="AutoShape 80">
          <a:extLst>
            <a:ext uri="{FF2B5EF4-FFF2-40B4-BE49-F238E27FC236}">
              <a16:creationId xmlns:a16="http://schemas.microsoft.com/office/drawing/2014/main" id="{00000000-0008-0000-0100-00001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4" name="AutoShape 84">
          <a:extLst>
            <a:ext uri="{FF2B5EF4-FFF2-40B4-BE49-F238E27FC236}">
              <a16:creationId xmlns:a16="http://schemas.microsoft.com/office/drawing/2014/main" id="{00000000-0008-0000-0100-000018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5" name="AutoShape 157">
          <a:extLst>
            <a:ext uri="{FF2B5EF4-FFF2-40B4-BE49-F238E27FC236}">
              <a16:creationId xmlns:a16="http://schemas.microsoft.com/office/drawing/2014/main" id="{00000000-0008-0000-0100-00001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6" name="AutoShape 158">
          <a:extLst>
            <a:ext uri="{FF2B5EF4-FFF2-40B4-BE49-F238E27FC236}">
              <a16:creationId xmlns:a16="http://schemas.microsoft.com/office/drawing/2014/main" id="{00000000-0008-0000-0100-00001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7" name="AutoShape 249">
          <a:extLst>
            <a:ext uri="{FF2B5EF4-FFF2-40B4-BE49-F238E27FC236}">
              <a16:creationId xmlns:a16="http://schemas.microsoft.com/office/drawing/2014/main" id="{00000000-0008-0000-0100-00001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8" name="AutoShape 184">
          <a:extLst>
            <a:ext uri="{FF2B5EF4-FFF2-40B4-BE49-F238E27FC236}">
              <a16:creationId xmlns:a16="http://schemas.microsoft.com/office/drawing/2014/main" id="{00000000-0008-0000-0100-00001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29" name="AutoShape 185">
          <a:extLst>
            <a:ext uri="{FF2B5EF4-FFF2-40B4-BE49-F238E27FC236}">
              <a16:creationId xmlns:a16="http://schemas.microsoft.com/office/drawing/2014/main" id="{00000000-0008-0000-0100-00001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0" name="AutoShape 186">
          <a:extLst>
            <a:ext uri="{FF2B5EF4-FFF2-40B4-BE49-F238E27FC236}">
              <a16:creationId xmlns:a16="http://schemas.microsoft.com/office/drawing/2014/main" id="{00000000-0008-0000-0100-00001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1" name="AutoShape 187">
          <a:extLst>
            <a:ext uri="{FF2B5EF4-FFF2-40B4-BE49-F238E27FC236}">
              <a16:creationId xmlns:a16="http://schemas.microsoft.com/office/drawing/2014/main" id="{00000000-0008-0000-0100-00001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2" name="AutoShape 80">
          <a:extLst>
            <a:ext uri="{FF2B5EF4-FFF2-40B4-BE49-F238E27FC236}">
              <a16:creationId xmlns:a16="http://schemas.microsoft.com/office/drawing/2014/main" id="{00000000-0008-0000-0100-00002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3" name="AutoShape 84">
          <a:extLst>
            <a:ext uri="{FF2B5EF4-FFF2-40B4-BE49-F238E27FC236}">
              <a16:creationId xmlns:a16="http://schemas.microsoft.com/office/drawing/2014/main" id="{00000000-0008-0000-0100-00002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4" name="AutoShape 157">
          <a:extLst>
            <a:ext uri="{FF2B5EF4-FFF2-40B4-BE49-F238E27FC236}">
              <a16:creationId xmlns:a16="http://schemas.microsoft.com/office/drawing/2014/main" id="{00000000-0008-0000-0100-00002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5" name="AutoShape 158">
          <a:extLst>
            <a:ext uri="{FF2B5EF4-FFF2-40B4-BE49-F238E27FC236}">
              <a16:creationId xmlns:a16="http://schemas.microsoft.com/office/drawing/2014/main" id="{00000000-0008-0000-0100-00002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6" name="AutoShape 124">
          <a:extLst>
            <a:ext uri="{FF2B5EF4-FFF2-40B4-BE49-F238E27FC236}">
              <a16:creationId xmlns:a16="http://schemas.microsoft.com/office/drawing/2014/main" id="{00000000-0008-0000-0100-00002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37" name="AutoShape 80">
          <a:extLst>
            <a:ext uri="{FF2B5EF4-FFF2-40B4-BE49-F238E27FC236}">
              <a16:creationId xmlns:a16="http://schemas.microsoft.com/office/drawing/2014/main" id="{00000000-0008-0000-0100-00002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8" name="AutoShape 84">
          <a:extLst>
            <a:ext uri="{FF2B5EF4-FFF2-40B4-BE49-F238E27FC236}">
              <a16:creationId xmlns:a16="http://schemas.microsoft.com/office/drawing/2014/main" id="{00000000-0008-0000-0100-000026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39" name="AutoShape 157">
          <a:extLst>
            <a:ext uri="{FF2B5EF4-FFF2-40B4-BE49-F238E27FC236}">
              <a16:creationId xmlns:a16="http://schemas.microsoft.com/office/drawing/2014/main" id="{00000000-0008-0000-0100-00002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0" name="AutoShape 158">
          <a:extLst>
            <a:ext uri="{FF2B5EF4-FFF2-40B4-BE49-F238E27FC236}">
              <a16:creationId xmlns:a16="http://schemas.microsoft.com/office/drawing/2014/main" id="{00000000-0008-0000-0100-000028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1" name="AutoShape 249">
          <a:extLst>
            <a:ext uri="{FF2B5EF4-FFF2-40B4-BE49-F238E27FC236}">
              <a16:creationId xmlns:a16="http://schemas.microsoft.com/office/drawing/2014/main" id="{00000000-0008-0000-0100-00002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2" name="AutoShape 184">
          <a:extLst>
            <a:ext uri="{FF2B5EF4-FFF2-40B4-BE49-F238E27FC236}">
              <a16:creationId xmlns:a16="http://schemas.microsoft.com/office/drawing/2014/main" id="{00000000-0008-0000-0100-00002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3" name="AutoShape 185">
          <a:extLst>
            <a:ext uri="{FF2B5EF4-FFF2-40B4-BE49-F238E27FC236}">
              <a16:creationId xmlns:a16="http://schemas.microsoft.com/office/drawing/2014/main" id="{00000000-0008-0000-0100-00002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4" name="AutoShape 186">
          <a:extLst>
            <a:ext uri="{FF2B5EF4-FFF2-40B4-BE49-F238E27FC236}">
              <a16:creationId xmlns:a16="http://schemas.microsoft.com/office/drawing/2014/main" id="{00000000-0008-0000-0100-00002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5" name="AutoShape 187">
          <a:extLst>
            <a:ext uri="{FF2B5EF4-FFF2-40B4-BE49-F238E27FC236}">
              <a16:creationId xmlns:a16="http://schemas.microsoft.com/office/drawing/2014/main" id="{00000000-0008-0000-0100-00002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6" name="AutoShape 80">
          <a:extLst>
            <a:ext uri="{FF2B5EF4-FFF2-40B4-BE49-F238E27FC236}">
              <a16:creationId xmlns:a16="http://schemas.microsoft.com/office/drawing/2014/main" id="{00000000-0008-0000-0100-00002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7" name="AutoShape 84">
          <a:extLst>
            <a:ext uri="{FF2B5EF4-FFF2-40B4-BE49-F238E27FC236}">
              <a16:creationId xmlns:a16="http://schemas.microsoft.com/office/drawing/2014/main" id="{00000000-0008-0000-0100-00002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8" name="AutoShape 157">
          <a:extLst>
            <a:ext uri="{FF2B5EF4-FFF2-40B4-BE49-F238E27FC236}">
              <a16:creationId xmlns:a16="http://schemas.microsoft.com/office/drawing/2014/main" id="{00000000-0008-0000-0100-00003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49" name="AutoShape 158">
          <a:extLst>
            <a:ext uri="{FF2B5EF4-FFF2-40B4-BE49-F238E27FC236}">
              <a16:creationId xmlns:a16="http://schemas.microsoft.com/office/drawing/2014/main" id="{00000000-0008-0000-0100-00003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0" name="AutoShape 124">
          <a:extLst>
            <a:ext uri="{FF2B5EF4-FFF2-40B4-BE49-F238E27FC236}">
              <a16:creationId xmlns:a16="http://schemas.microsoft.com/office/drawing/2014/main" id="{00000000-0008-0000-0100-00003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51" name="AutoShape 80">
          <a:extLst>
            <a:ext uri="{FF2B5EF4-FFF2-40B4-BE49-F238E27FC236}">
              <a16:creationId xmlns:a16="http://schemas.microsoft.com/office/drawing/2014/main" id="{00000000-0008-0000-0100-00003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2" name="AutoShape 84">
          <a:extLst>
            <a:ext uri="{FF2B5EF4-FFF2-40B4-BE49-F238E27FC236}">
              <a16:creationId xmlns:a16="http://schemas.microsoft.com/office/drawing/2014/main" id="{00000000-0008-0000-0100-000034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3" name="AutoShape 157">
          <a:extLst>
            <a:ext uri="{FF2B5EF4-FFF2-40B4-BE49-F238E27FC236}">
              <a16:creationId xmlns:a16="http://schemas.microsoft.com/office/drawing/2014/main" id="{00000000-0008-0000-0100-00003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4" name="AutoShape 158">
          <a:extLst>
            <a:ext uri="{FF2B5EF4-FFF2-40B4-BE49-F238E27FC236}">
              <a16:creationId xmlns:a16="http://schemas.microsoft.com/office/drawing/2014/main" id="{00000000-0008-0000-0100-000036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5" name="AutoShape 249">
          <a:extLst>
            <a:ext uri="{FF2B5EF4-FFF2-40B4-BE49-F238E27FC236}">
              <a16:creationId xmlns:a16="http://schemas.microsoft.com/office/drawing/2014/main" id="{00000000-0008-0000-0100-00003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6" name="AutoShape 184">
          <a:extLst>
            <a:ext uri="{FF2B5EF4-FFF2-40B4-BE49-F238E27FC236}">
              <a16:creationId xmlns:a16="http://schemas.microsoft.com/office/drawing/2014/main" id="{00000000-0008-0000-0100-00003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7" name="AutoShape 185">
          <a:extLst>
            <a:ext uri="{FF2B5EF4-FFF2-40B4-BE49-F238E27FC236}">
              <a16:creationId xmlns:a16="http://schemas.microsoft.com/office/drawing/2014/main" id="{00000000-0008-0000-0100-00003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8" name="AutoShape 186">
          <a:extLst>
            <a:ext uri="{FF2B5EF4-FFF2-40B4-BE49-F238E27FC236}">
              <a16:creationId xmlns:a16="http://schemas.microsoft.com/office/drawing/2014/main" id="{00000000-0008-0000-0100-00003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59" name="AutoShape 187">
          <a:extLst>
            <a:ext uri="{FF2B5EF4-FFF2-40B4-BE49-F238E27FC236}">
              <a16:creationId xmlns:a16="http://schemas.microsoft.com/office/drawing/2014/main" id="{00000000-0008-0000-0100-00003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0" name="AutoShape 80">
          <a:extLst>
            <a:ext uri="{FF2B5EF4-FFF2-40B4-BE49-F238E27FC236}">
              <a16:creationId xmlns:a16="http://schemas.microsoft.com/office/drawing/2014/main" id="{00000000-0008-0000-0100-00003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1" name="AutoShape 84">
          <a:extLst>
            <a:ext uri="{FF2B5EF4-FFF2-40B4-BE49-F238E27FC236}">
              <a16:creationId xmlns:a16="http://schemas.microsoft.com/office/drawing/2014/main" id="{00000000-0008-0000-0100-00003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2" name="AutoShape 157">
          <a:extLst>
            <a:ext uri="{FF2B5EF4-FFF2-40B4-BE49-F238E27FC236}">
              <a16:creationId xmlns:a16="http://schemas.microsoft.com/office/drawing/2014/main" id="{00000000-0008-0000-0100-00003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3" name="AutoShape 158">
          <a:extLst>
            <a:ext uri="{FF2B5EF4-FFF2-40B4-BE49-F238E27FC236}">
              <a16:creationId xmlns:a16="http://schemas.microsoft.com/office/drawing/2014/main" id="{00000000-0008-0000-0100-00003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4" name="AutoShape 124">
          <a:extLst>
            <a:ext uri="{FF2B5EF4-FFF2-40B4-BE49-F238E27FC236}">
              <a16:creationId xmlns:a16="http://schemas.microsoft.com/office/drawing/2014/main" id="{00000000-0008-0000-0100-00004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65" name="AutoShape 80">
          <a:extLst>
            <a:ext uri="{FF2B5EF4-FFF2-40B4-BE49-F238E27FC236}">
              <a16:creationId xmlns:a16="http://schemas.microsoft.com/office/drawing/2014/main" id="{00000000-0008-0000-0100-00004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6" name="AutoShape 84">
          <a:extLst>
            <a:ext uri="{FF2B5EF4-FFF2-40B4-BE49-F238E27FC236}">
              <a16:creationId xmlns:a16="http://schemas.microsoft.com/office/drawing/2014/main" id="{00000000-0008-0000-0100-000042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7" name="AutoShape 157">
          <a:extLst>
            <a:ext uri="{FF2B5EF4-FFF2-40B4-BE49-F238E27FC236}">
              <a16:creationId xmlns:a16="http://schemas.microsoft.com/office/drawing/2014/main" id="{00000000-0008-0000-0100-00004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8" name="AutoShape 158">
          <a:extLst>
            <a:ext uri="{FF2B5EF4-FFF2-40B4-BE49-F238E27FC236}">
              <a16:creationId xmlns:a16="http://schemas.microsoft.com/office/drawing/2014/main" id="{00000000-0008-0000-0100-000044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69" name="AutoShape 249">
          <a:extLst>
            <a:ext uri="{FF2B5EF4-FFF2-40B4-BE49-F238E27FC236}">
              <a16:creationId xmlns:a16="http://schemas.microsoft.com/office/drawing/2014/main" id="{00000000-0008-0000-0100-00004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0" name="AutoShape 184">
          <a:extLst>
            <a:ext uri="{FF2B5EF4-FFF2-40B4-BE49-F238E27FC236}">
              <a16:creationId xmlns:a16="http://schemas.microsoft.com/office/drawing/2014/main" id="{00000000-0008-0000-0100-00004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1" name="AutoShape 185">
          <a:extLst>
            <a:ext uri="{FF2B5EF4-FFF2-40B4-BE49-F238E27FC236}">
              <a16:creationId xmlns:a16="http://schemas.microsoft.com/office/drawing/2014/main" id="{00000000-0008-0000-0100-00004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2" name="AutoShape 186">
          <a:extLst>
            <a:ext uri="{FF2B5EF4-FFF2-40B4-BE49-F238E27FC236}">
              <a16:creationId xmlns:a16="http://schemas.microsoft.com/office/drawing/2014/main" id="{00000000-0008-0000-0100-00004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3" name="AutoShape 187">
          <a:extLst>
            <a:ext uri="{FF2B5EF4-FFF2-40B4-BE49-F238E27FC236}">
              <a16:creationId xmlns:a16="http://schemas.microsoft.com/office/drawing/2014/main" id="{00000000-0008-0000-0100-00004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4" name="AutoShape 80">
          <a:extLst>
            <a:ext uri="{FF2B5EF4-FFF2-40B4-BE49-F238E27FC236}">
              <a16:creationId xmlns:a16="http://schemas.microsoft.com/office/drawing/2014/main" id="{00000000-0008-0000-0100-00004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5" name="AutoShape 84">
          <a:extLst>
            <a:ext uri="{FF2B5EF4-FFF2-40B4-BE49-F238E27FC236}">
              <a16:creationId xmlns:a16="http://schemas.microsoft.com/office/drawing/2014/main" id="{00000000-0008-0000-0100-00004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6" name="AutoShape 157">
          <a:extLst>
            <a:ext uri="{FF2B5EF4-FFF2-40B4-BE49-F238E27FC236}">
              <a16:creationId xmlns:a16="http://schemas.microsoft.com/office/drawing/2014/main" id="{00000000-0008-0000-0100-00004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7" name="AutoShape 158">
          <a:extLst>
            <a:ext uri="{FF2B5EF4-FFF2-40B4-BE49-F238E27FC236}">
              <a16:creationId xmlns:a16="http://schemas.microsoft.com/office/drawing/2014/main" id="{00000000-0008-0000-0100-00004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78" name="AutoShape 124">
          <a:extLst>
            <a:ext uri="{FF2B5EF4-FFF2-40B4-BE49-F238E27FC236}">
              <a16:creationId xmlns:a16="http://schemas.microsoft.com/office/drawing/2014/main" id="{00000000-0008-0000-0100-00004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79" name="AutoShape 80">
          <a:extLst>
            <a:ext uri="{FF2B5EF4-FFF2-40B4-BE49-F238E27FC236}">
              <a16:creationId xmlns:a16="http://schemas.microsoft.com/office/drawing/2014/main" id="{00000000-0008-0000-0100-00004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0" name="AutoShape 84">
          <a:extLst>
            <a:ext uri="{FF2B5EF4-FFF2-40B4-BE49-F238E27FC236}">
              <a16:creationId xmlns:a16="http://schemas.microsoft.com/office/drawing/2014/main" id="{00000000-0008-0000-0100-000050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1" name="AutoShape 157">
          <a:extLst>
            <a:ext uri="{FF2B5EF4-FFF2-40B4-BE49-F238E27FC236}">
              <a16:creationId xmlns:a16="http://schemas.microsoft.com/office/drawing/2014/main" id="{00000000-0008-0000-0100-00005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2" name="AutoShape 158">
          <a:extLst>
            <a:ext uri="{FF2B5EF4-FFF2-40B4-BE49-F238E27FC236}">
              <a16:creationId xmlns:a16="http://schemas.microsoft.com/office/drawing/2014/main" id="{00000000-0008-0000-0100-000052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3" name="AutoShape 249">
          <a:extLst>
            <a:ext uri="{FF2B5EF4-FFF2-40B4-BE49-F238E27FC236}">
              <a16:creationId xmlns:a16="http://schemas.microsoft.com/office/drawing/2014/main" id="{00000000-0008-0000-0100-00005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4" name="AutoShape 184">
          <a:extLst>
            <a:ext uri="{FF2B5EF4-FFF2-40B4-BE49-F238E27FC236}">
              <a16:creationId xmlns:a16="http://schemas.microsoft.com/office/drawing/2014/main" id="{00000000-0008-0000-0100-00005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5" name="AutoShape 185">
          <a:extLst>
            <a:ext uri="{FF2B5EF4-FFF2-40B4-BE49-F238E27FC236}">
              <a16:creationId xmlns:a16="http://schemas.microsoft.com/office/drawing/2014/main" id="{00000000-0008-0000-0100-00005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6" name="AutoShape 186">
          <a:extLst>
            <a:ext uri="{FF2B5EF4-FFF2-40B4-BE49-F238E27FC236}">
              <a16:creationId xmlns:a16="http://schemas.microsoft.com/office/drawing/2014/main" id="{00000000-0008-0000-0100-00005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7" name="AutoShape 187">
          <a:extLst>
            <a:ext uri="{FF2B5EF4-FFF2-40B4-BE49-F238E27FC236}">
              <a16:creationId xmlns:a16="http://schemas.microsoft.com/office/drawing/2014/main" id="{00000000-0008-0000-0100-00005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8" name="AutoShape 80">
          <a:extLst>
            <a:ext uri="{FF2B5EF4-FFF2-40B4-BE49-F238E27FC236}">
              <a16:creationId xmlns:a16="http://schemas.microsoft.com/office/drawing/2014/main" id="{00000000-0008-0000-0100-00005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89" name="AutoShape 84">
          <a:extLst>
            <a:ext uri="{FF2B5EF4-FFF2-40B4-BE49-F238E27FC236}">
              <a16:creationId xmlns:a16="http://schemas.microsoft.com/office/drawing/2014/main" id="{00000000-0008-0000-0100-00005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0" name="AutoShape 157">
          <a:extLst>
            <a:ext uri="{FF2B5EF4-FFF2-40B4-BE49-F238E27FC236}">
              <a16:creationId xmlns:a16="http://schemas.microsoft.com/office/drawing/2014/main" id="{00000000-0008-0000-0100-00005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1" name="AutoShape 158">
          <a:extLst>
            <a:ext uri="{FF2B5EF4-FFF2-40B4-BE49-F238E27FC236}">
              <a16:creationId xmlns:a16="http://schemas.microsoft.com/office/drawing/2014/main" id="{00000000-0008-0000-0100-00005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2" name="AutoShape 124">
          <a:extLst>
            <a:ext uri="{FF2B5EF4-FFF2-40B4-BE49-F238E27FC236}">
              <a16:creationId xmlns:a16="http://schemas.microsoft.com/office/drawing/2014/main" id="{00000000-0008-0000-0100-00005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493" name="AutoShape 80">
          <a:extLst>
            <a:ext uri="{FF2B5EF4-FFF2-40B4-BE49-F238E27FC236}">
              <a16:creationId xmlns:a16="http://schemas.microsoft.com/office/drawing/2014/main" id="{00000000-0008-0000-0100-00005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4" name="AutoShape 84">
          <a:extLst>
            <a:ext uri="{FF2B5EF4-FFF2-40B4-BE49-F238E27FC236}">
              <a16:creationId xmlns:a16="http://schemas.microsoft.com/office/drawing/2014/main" id="{00000000-0008-0000-0100-00005E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5" name="AutoShape 157">
          <a:extLst>
            <a:ext uri="{FF2B5EF4-FFF2-40B4-BE49-F238E27FC236}">
              <a16:creationId xmlns:a16="http://schemas.microsoft.com/office/drawing/2014/main" id="{00000000-0008-0000-0100-00005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6" name="AutoShape 158">
          <a:extLst>
            <a:ext uri="{FF2B5EF4-FFF2-40B4-BE49-F238E27FC236}">
              <a16:creationId xmlns:a16="http://schemas.microsoft.com/office/drawing/2014/main" id="{00000000-0008-0000-0100-000060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7" name="AutoShape 249">
          <a:extLst>
            <a:ext uri="{FF2B5EF4-FFF2-40B4-BE49-F238E27FC236}">
              <a16:creationId xmlns:a16="http://schemas.microsoft.com/office/drawing/2014/main" id="{00000000-0008-0000-0100-00006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8" name="AutoShape 184">
          <a:extLst>
            <a:ext uri="{FF2B5EF4-FFF2-40B4-BE49-F238E27FC236}">
              <a16:creationId xmlns:a16="http://schemas.microsoft.com/office/drawing/2014/main" id="{00000000-0008-0000-0100-00006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499" name="AutoShape 185">
          <a:extLst>
            <a:ext uri="{FF2B5EF4-FFF2-40B4-BE49-F238E27FC236}">
              <a16:creationId xmlns:a16="http://schemas.microsoft.com/office/drawing/2014/main" id="{00000000-0008-0000-0100-00006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0" name="AutoShape 186">
          <a:extLst>
            <a:ext uri="{FF2B5EF4-FFF2-40B4-BE49-F238E27FC236}">
              <a16:creationId xmlns:a16="http://schemas.microsoft.com/office/drawing/2014/main" id="{00000000-0008-0000-0100-00006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1" name="AutoShape 187">
          <a:extLst>
            <a:ext uri="{FF2B5EF4-FFF2-40B4-BE49-F238E27FC236}">
              <a16:creationId xmlns:a16="http://schemas.microsoft.com/office/drawing/2014/main" id="{00000000-0008-0000-0100-00006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2" name="AutoShape 80">
          <a:extLst>
            <a:ext uri="{FF2B5EF4-FFF2-40B4-BE49-F238E27FC236}">
              <a16:creationId xmlns:a16="http://schemas.microsoft.com/office/drawing/2014/main" id="{00000000-0008-0000-0100-00006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3" name="AutoShape 84">
          <a:extLst>
            <a:ext uri="{FF2B5EF4-FFF2-40B4-BE49-F238E27FC236}">
              <a16:creationId xmlns:a16="http://schemas.microsoft.com/office/drawing/2014/main" id="{00000000-0008-0000-0100-00006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4" name="AutoShape 157">
          <a:extLst>
            <a:ext uri="{FF2B5EF4-FFF2-40B4-BE49-F238E27FC236}">
              <a16:creationId xmlns:a16="http://schemas.microsoft.com/office/drawing/2014/main" id="{00000000-0008-0000-0100-00006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5" name="AutoShape 158">
          <a:extLst>
            <a:ext uri="{FF2B5EF4-FFF2-40B4-BE49-F238E27FC236}">
              <a16:creationId xmlns:a16="http://schemas.microsoft.com/office/drawing/2014/main" id="{00000000-0008-0000-0100-00006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6" name="AutoShape 124">
          <a:extLst>
            <a:ext uri="{FF2B5EF4-FFF2-40B4-BE49-F238E27FC236}">
              <a16:creationId xmlns:a16="http://schemas.microsoft.com/office/drawing/2014/main" id="{00000000-0008-0000-0100-00006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507" name="AutoShape 80">
          <a:extLst>
            <a:ext uri="{FF2B5EF4-FFF2-40B4-BE49-F238E27FC236}">
              <a16:creationId xmlns:a16="http://schemas.microsoft.com/office/drawing/2014/main" id="{00000000-0008-0000-0100-00006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8" name="AutoShape 84">
          <a:extLst>
            <a:ext uri="{FF2B5EF4-FFF2-40B4-BE49-F238E27FC236}">
              <a16:creationId xmlns:a16="http://schemas.microsoft.com/office/drawing/2014/main" id="{00000000-0008-0000-0100-00006C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09" name="AutoShape 157">
          <a:extLst>
            <a:ext uri="{FF2B5EF4-FFF2-40B4-BE49-F238E27FC236}">
              <a16:creationId xmlns:a16="http://schemas.microsoft.com/office/drawing/2014/main" id="{00000000-0008-0000-0100-00006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0" name="AutoShape 158">
          <a:extLst>
            <a:ext uri="{FF2B5EF4-FFF2-40B4-BE49-F238E27FC236}">
              <a16:creationId xmlns:a16="http://schemas.microsoft.com/office/drawing/2014/main" id="{00000000-0008-0000-0100-00006E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1" name="AutoShape 249">
          <a:extLst>
            <a:ext uri="{FF2B5EF4-FFF2-40B4-BE49-F238E27FC236}">
              <a16:creationId xmlns:a16="http://schemas.microsoft.com/office/drawing/2014/main" id="{00000000-0008-0000-0100-00006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2" name="AutoShape 184">
          <a:extLst>
            <a:ext uri="{FF2B5EF4-FFF2-40B4-BE49-F238E27FC236}">
              <a16:creationId xmlns:a16="http://schemas.microsoft.com/office/drawing/2014/main" id="{00000000-0008-0000-0100-00007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3" name="AutoShape 185">
          <a:extLst>
            <a:ext uri="{FF2B5EF4-FFF2-40B4-BE49-F238E27FC236}">
              <a16:creationId xmlns:a16="http://schemas.microsoft.com/office/drawing/2014/main" id="{00000000-0008-0000-0100-00007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4" name="AutoShape 186">
          <a:extLst>
            <a:ext uri="{FF2B5EF4-FFF2-40B4-BE49-F238E27FC236}">
              <a16:creationId xmlns:a16="http://schemas.microsoft.com/office/drawing/2014/main" id="{00000000-0008-0000-0100-00007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5" name="AutoShape 187">
          <a:extLst>
            <a:ext uri="{FF2B5EF4-FFF2-40B4-BE49-F238E27FC236}">
              <a16:creationId xmlns:a16="http://schemas.microsoft.com/office/drawing/2014/main" id="{00000000-0008-0000-0100-00007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6" name="AutoShape 80">
          <a:extLst>
            <a:ext uri="{FF2B5EF4-FFF2-40B4-BE49-F238E27FC236}">
              <a16:creationId xmlns:a16="http://schemas.microsoft.com/office/drawing/2014/main" id="{00000000-0008-0000-0100-00007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7" name="AutoShape 84">
          <a:extLst>
            <a:ext uri="{FF2B5EF4-FFF2-40B4-BE49-F238E27FC236}">
              <a16:creationId xmlns:a16="http://schemas.microsoft.com/office/drawing/2014/main" id="{00000000-0008-0000-0100-00007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8" name="AutoShape 157">
          <a:extLst>
            <a:ext uri="{FF2B5EF4-FFF2-40B4-BE49-F238E27FC236}">
              <a16:creationId xmlns:a16="http://schemas.microsoft.com/office/drawing/2014/main" id="{00000000-0008-0000-0100-00007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19" name="AutoShape 158">
          <a:extLst>
            <a:ext uri="{FF2B5EF4-FFF2-40B4-BE49-F238E27FC236}">
              <a16:creationId xmlns:a16="http://schemas.microsoft.com/office/drawing/2014/main" id="{00000000-0008-0000-0100-00007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0" name="AutoShape 124">
          <a:extLst>
            <a:ext uri="{FF2B5EF4-FFF2-40B4-BE49-F238E27FC236}">
              <a16:creationId xmlns:a16="http://schemas.microsoft.com/office/drawing/2014/main" id="{00000000-0008-0000-0100-00007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521" name="AutoShape 80">
          <a:extLst>
            <a:ext uri="{FF2B5EF4-FFF2-40B4-BE49-F238E27FC236}">
              <a16:creationId xmlns:a16="http://schemas.microsoft.com/office/drawing/2014/main" id="{00000000-0008-0000-0100-00007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2" name="AutoShape 84">
          <a:extLst>
            <a:ext uri="{FF2B5EF4-FFF2-40B4-BE49-F238E27FC236}">
              <a16:creationId xmlns:a16="http://schemas.microsoft.com/office/drawing/2014/main" id="{00000000-0008-0000-0100-00007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3" name="AutoShape 157">
          <a:extLst>
            <a:ext uri="{FF2B5EF4-FFF2-40B4-BE49-F238E27FC236}">
              <a16:creationId xmlns:a16="http://schemas.microsoft.com/office/drawing/2014/main" id="{00000000-0008-0000-0100-00007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4" name="AutoShape 158">
          <a:extLst>
            <a:ext uri="{FF2B5EF4-FFF2-40B4-BE49-F238E27FC236}">
              <a16:creationId xmlns:a16="http://schemas.microsoft.com/office/drawing/2014/main" id="{00000000-0008-0000-0100-00007C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5" name="AutoShape 249">
          <a:extLst>
            <a:ext uri="{FF2B5EF4-FFF2-40B4-BE49-F238E27FC236}">
              <a16:creationId xmlns:a16="http://schemas.microsoft.com/office/drawing/2014/main" id="{00000000-0008-0000-0100-00007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6" name="AutoShape 184">
          <a:extLst>
            <a:ext uri="{FF2B5EF4-FFF2-40B4-BE49-F238E27FC236}">
              <a16:creationId xmlns:a16="http://schemas.microsoft.com/office/drawing/2014/main" id="{00000000-0008-0000-0100-00007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7" name="AutoShape 185">
          <a:extLst>
            <a:ext uri="{FF2B5EF4-FFF2-40B4-BE49-F238E27FC236}">
              <a16:creationId xmlns:a16="http://schemas.microsoft.com/office/drawing/2014/main" id="{00000000-0008-0000-0100-00007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8" name="AutoShape 186">
          <a:extLst>
            <a:ext uri="{FF2B5EF4-FFF2-40B4-BE49-F238E27FC236}">
              <a16:creationId xmlns:a16="http://schemas.microsoft.com/office/drawing/2014/main" id="{00000000-0008-0000-0100-00008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29" name="AutoShape 187">
          <a:extLst>
            <a:ext uri="{FF2B5EF4-FFF2-40B4-BE49-F238E27FC236}">
              <a16:creationId xmlns:a16="http://schemas.microsoft.com/office/drawing/2014/main" id="{00000000-0008-0000-0100-00008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0" name="AutoShape 80">
          <a:extLst>
            <a:ext uri="{FF2B5EF4-FFF2-40B4-BE49-F238E27FC236}">
              <a16:creationId xmlns:a16="http://schemas.microsoft.com/office/drawing/2014/main" id="{00000000-0008-0000-0100-00008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1" name="AutoShape 84">
          <a:extLst>
            <a:ext uri="{FF2B5EF4-FFF2-40B4-BE49-F238E27FC236}">
              <a16:creationId xmlns:a16="http://schemas.microsoft.com/office/drawing/2014/main" id="{00000000-0008-0000-0100-00008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2" name="AutoShape 157">
          <a:extLst>
            <a:ext uri="{FF2B5EF4-FFF2-40B4-BE49-F238E27FC236}">
              <a16:creationId xmlns:a16="http://schemas.microsoft.com/office/drawing/2014/main" id="{00000000-0008-0000-0100-00008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3" name="AutoShape 158">
          <a:extLst>
            <a:ext uri="{FF2B5EF4-FFF2-40B4-BE49-F238E27FC236}">
              <a16:creationId xmlns:a16="http://schemas.microsoft.com/office/drawing/2014/main" id="{00000000-0008-0000-0100-00008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4" name="AutoShape 124">
          <a:extLst>
            <a:ext uri="{FF2B5EF4-FFF2-40B4-BE49-F238E27FC236}">
              <a16:creationId xmlns:a16="http://schemas.microsoft.com/office/drawing/2014/main" id="{00000000-0008-0000-0100-00008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20</xdr:col>
      <xdr:colOff>0</xdr:colOff>
      <xdr:row>145</xdr:row>
      <xdr:rowOff>0</xdr:rowOff>
    </xdr:to>
    <xdr:sp macro="" textlink="">
      <xdr:nvSpPr>
        <xdr:cNvPr id="6535" name="AutoShape 80">
          <a:extLst>
            <a:ext uri="{FF2B5EF4-FFF2-40B4-BE49-F238E27FC236}">
              <a16:creationId xmlns:a16="http://schemas.microsoft.com/office/drawing/2014/main" id="{00000000-0008-0000-0100-00008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6" name="AutoShape 84">
          <a:extLst>
            <a:ext uri="{FF2B5EF4-FFF2-40B4-BE49-F238E27FC236}">
              <a16:creationId xmlns:a16="http://schemas.microsoft.com/office/drawing/2014/main" id="{00000000-0008-0000-0100-000088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7" name="AutoShape 157">
          <a:extLst>
            <a:ext uri="{FF2B5EF4-FFF2-40B4-BE49-F238E27FC236}">
              <a16:creationId xmlns:a16="http://schemas.microsoft.com/office/drawing/2014/main" id="{00000000-0008-0000-0100-00008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8" name="AutoShape 158">
          <a:extLst>
            <a:ext uri="{FF2B5EF4-FFF2-40B4-BE49-F238E27FC236}">
              <a16:creationId xmlns:a16="http://schemas.microsoft.com/office/drawing/2014/main" id="{00000000-0008-0000-0100-00008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39" name="AutoShape 249">
          <a:extLst>
            <a:ext uri="{FF2B5EF4-FFF2-40B4-BE49-F238E27FC236}">
              <a16:creationId xmlns:a16="http://schemas.microsoft.com/office/drawing/2014/main" id="{00000000-0008-0000-0100-00008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40" name="AutoShape 184">
          <a:extLst>
            <a:ext uri="{FF2B5EF4-FFF2-40B4-BE49-F238E27FC236}">
              <a16:creationId xmlns:a16="http://schemas.microsoft.com/office/drawing/2014/main" id="{00000000-0008-0000-0100-00008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41" name="AutoShape 185">
          <a:extLst>
            <a:ext uri="{FF2B5EF4-FFF2-40B4-BE49-F238E27FC236}">
              <a16:creationId xmlns:a16="http://schemas.microsoft.com/office/drawing/2014/main" id="{00000000-0008-0000-0100-00008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42" name="AutoShape 186">
          <a:extLst>
            <a:ext uri="{FF2B5EF4-FFF2-40B4-BE49-F238E27FC236}">
              <a16:creationId xmlns:a16="http://schemas.microsoft.com/office/drawing/2014/main" id="{00000000-0008-0000-0100-00008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145</xdr:row>
      <xdr:rowOff>0</xdr:rowOff>
    </xdr:from>
    <xdr:to>
      <xdr:col>19</xdr:col>
      <xdr:colOff>495300</xdr:colOff>
      <xdr:row>145</xdr:row>
      <xdr:rowOff>0</xdr:rowOff>
    </xdr:to>
    <xdr:sp macro="" textlink="">
      <xdr:nvSpPr>
        <xdr:cNvPr id="6543" name="AutoShape 187">
          <a:extLst>
            <a:ext uri="{FF2B5EF4-FFF2-40B4-BE49-F238E27FC236}">
              <a16:creationId xmlns:a16="http://schemas.microsoft.com/office/drawing/2014/main" id="{00000000-0008-0000-0100-00008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44" name="AutoShape 80">
          <a:extLst>
            <a:ext uri="{FF2B5EF4-FFF2-40B4-BE49-F238E27FC236}">
              <a16:creationId xmlns:a16="http://schemas.microsoft.com/office/drawing/2014/main" id="{00000000-0008-0000-0100-00009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45" name="AutoShape 84">
          <a:extLst>
            <a:ext uri="{FF2B5EF4-FFF2-40B4-BE49-F238E27FC236}">
              <a16:creationId xmlns:a16="http://schemas.microsoft.com/office/drawing/2014/main" id="{00000000-0008-0000-0100-00009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46" name="AutoShape 157">
          <a:extLst>
            <a:ext uri="{FF2B5EF4-FFF2-40B4-BE49-F238E27FC236}">
              <a16:creationId xmlns:a16="http://schemas.microsoft.com/office/drawing/2014/main" id="{00000000-0008-0000-0100-00009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47" name="AutoShape 158">
          <a:extLst>
            <a:ext uri="{FF2B5EF4-FFF2-40B4-BE49-F238E27FC236}">
              <a16:creationId xmlns:a16="http://schemas.microsoft.com/office/drawing/2014/main" id="{00000000-0008-0000-0100-00009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48" name="AutoShape 124">
          <a:extLst>
            <a:ext uri="{FF2B5EF4-FFF2-40B4-BE49-F238E27FC236}">
              <a16:creationId xmlns:a16="http://schemas.microsoft.com/office/drawing/2014/main" id="{00000000-0008-0000-0100-00009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549" name="AutoShape 80">
          <a:extLst>
            <a:ext uri="{FF2B5EF4-FFF2-40B4-BE49-F238E27FC236}">
              <a16:creationId xmlns:a16="http://schemas.microsoft.com/office/drawing/2014/main" id="{00000000-0008-0000-0100-00009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0" name="AutoShape 84">
          <a:extLst>
            <a:ext uri="{FF2B5EF4-FFF2-40B4-BE49-F238E27FC236}">
              <a16:creationId xmlns:a16="http://schemas.microsoft.com/office/drawing/2014/main" id="{00000000-0008-0000-0100-000096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1" name="AutoShape 157">
          <a:extLst>
            <a:ext uri="{FF2B5EF4-FFF2-40B4-BE49-F238E27FC236}">
              <a16:creationId xmlns:a16="http://schemas.microsoft.com/office/drawing/2014/main" id="{00000000-0008-0000-0100-00009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2" name="AutoShape 158">
          <a:extLst>
            <a:ext uri="{FF2B5EF4-FFF2-40B4-BE49-F238E27FC236}">
              <a16:creationId xmlns:a16="http://schemas.microsoft.com/office/drawing/2014/main" id="{00000000-0008-0000-0100-000098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3" name="AutoShape 249">
          <a:extLst>
            <a:ext uri="{FF2B5EF4-FFF2-40B4-BE49-F238E27FC236}">
              <a16:creationId xmlns:a16="http://schemas.microsoft.com/office/drawing/2014/main" id="{00000000-0008-0000-0100-00009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4" name="AutoShape 184">
          <a:extLst>
            <a:ext uri="{FF2B5EF4-FFF2-40B4-BE49-F238E27FC236}">
              <a16:creationId xmlns:a16="http://schemas.microsoft.com/office/drawing/2014/main" id="{00000000-0008-0000-0100-00009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5" name="AutoShape 185">
          <a:extLst>
            <a:ext uri="{FF2B5EF4-FFF2-40B4-BE49-F238E27FC236}">
              <a16:creationId xmlns:a16="http://schemas.microsoft.com/office/drawing/2014/main" id="{00000000-0008-0000-0100-00009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6" name="AutoShape 186">
          <a:extLst>
            <a:ext uri="{FF2B5EF4-FFF2-40B4-BE49-F238E27FC236}">
              <a16:creationId xmlns:a16="http://schemas.microsoft.com/office/drawing/2014/main" id="{00000000-0008-0000-0100-00009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7" name="AutoShape 187">
          <a:extLst>
            <a:ext uri="{FF2B5EF4-FFF2-40B4-BE49-F238E27FC236}">
              <a16:creationId xmlns:a16="http://schemas.microsoft.com/office/drawing/2014/main" id="{00000000-0008-0000-0100-00009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8" name="AutoShape 80">
          <a:extLst>
            <a:ext uri="{FF2B5EF4-FFF2-40B4-BE49-F238E27FC236}">
              <a16:creationId xmlns:a16="http://schemas.microsoft.com/office/drawing/2014/main" id="{00000000-0008-0000-0100-00009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59" name="AutoShape 84">
          <a:extLst>
            <a:ext uri="{FF2B5EF4-FFF2-40B4-BE49-F238E27FC236}">
              <a16:creationId xmlns:a16="http://schemas.microsoft.com/office/drawing/2014/main" id="{00000000-0008-0000-0100-00009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0" name="AutoShape 157">
          <a:extLst>
            <a:ext uri="{FF2B5EF4-FFF2-40B4-BE49-F238E27FC236}">
              <a16:creationId xmlns:a16="http://schemas.microsoft.com/office/drawing/2014/main" id="{00000000-0008-0000-0100-0000A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1" name="AutoShape 158">
          <a:extLst>
            <a:ext uri="{FF2B5EF4-FFF2-40B4-BE49-F238E27FC236}">
              <a16:creationId xmlns:a16="http://schemas.microsoft.com/office/drawing/2014/main" id="{00000000-0008-0000-0100-0000A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2" name="AutoShape 124">
          <a:extLst>
            <a:ext uri="{FF2B5EF4-FFF2-40B4-BE49-F238E27FC236}">
              <a16:creationId xmlns:a16="http://schemas.microsoft.com/office/drawing/2014/main" id="{00000000-0008-0000-0100-0000A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563" name="AutoShape 80">
          <a:extLst>
            <a:ext uri="{FF2B5EF4-FFF2-40B4-BE49-F238E27FC236}">
              <a16:creationId xmlns:a16="http://schemas.microsoft.com/office/drawing/2014/main" id="{00000000-0008-0000-0100-0000A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4" name="AutoShape 84">
          <a:extLst>
            <a:ext uri="{FF2B5EF4-FFF2-40B4-BE49-F238E27FC236}">
              <a16:creationId xmlns:a16="http://schemas.microsoft.com/office/drawing/2014/main" id="{00000000-0008-0000-0100-0000A4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5" name="AutoShape 157">
          <a:extLst>
            <a:ext uri="{FF2B5EF4-FFF2-40B4-BE49-F238E27FC236}">
              <a16:creationId xmlns:a16="http://schemas.microsoft.com/office/drawing/2014/main" id="{00000000-0008-0000-0100-0000A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6" name="AutoShape 158">
          <a:extLst>
            <a:ext uri="{FF2B5EF4-FFF2-40B4-BE49-F238E27FC236}">
              <a16:creationId xmlns:a16="http://schemas.microsoft.com/office/drawing/2014/main" id="{00000000-0008-0000-0100-0000A6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7" name="AutoShape 249">
          <a:extLst>
            <a:ext uri="{FF2B5EF4-FFF2-40B4-BE49-F238E27FC236}">
              <a16:creationId xmlns:a16="http://schemas.microsoft.com/office/drawing/2014/main" id="{00000000-0008-0000-0100-0000A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8" name="AutoShape 184">
          <a:extLst>
            <a:ext uri="{FF2B5EF4-FFF2-40B4-BE49-F238E27FC236}">
              <a16:creationId xmlns:a16="http://schemas.microsoft.com/office/drawing/2014/main" id="{00000000-0008-0000-0100-0000A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69" name="AutoShape 185">
          <a:extLst>
            <a:ext uri="{FF2B5EF4-FFF2-40B4-BE49-F238E27FC236}">
              <a16:creationId xmlns:a16="http://schemas.microsoft.com/office/drawing/2014/main" id="{00000000-0008-0000-0100-0000A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0" name="AutoShape 186">
          <a:extLst>
            <a:ext uri="{FF2B5EF4-FFF2-40B4-BE49-F238E27FC236}">
              <a16:creationId xmlns:a16="http://schemas.microsoft.com/office/drawing/2014/main" id="{00000000-0008-0000-0100-0000A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1" name="AutoShape 187">
          <a:extLst>
            <a:ext uri="{FF2B5EF4-FFF2-40B4-BE49-F238E27FC236}">
              <a16:creationId xmlns:a16="http://schemas.microsoft.com/office/drawing/2014/main" id="{00000000-0008-0000-0100-0000A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2" name="AutoShape 80">
          <a:extLst>
            <a:ext uri="{FF2B5EF4-FFF2-40B4-BE49-F238E27FC236}">
              <a16:creationId xmlns:a16="http://schemas.microsoft.com/office/drawing/2014/main" id="{00000000-0008-0000-0100-0000A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3" name="AutoShape 84">
          <a:extLst>
            <a:ext uri="{FF2B5EF4-FFF2-40B4-BE49-F238E27FC236}">
              <a16:creationId xmlns:a16="http://schemas.microsoft.com/office/drawing/2014/main" id="{00000000-0008-0000-0100-0000A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4" name="AutoShape 157">
          <a:extLst>
            <a:ext uri="{FF2B5EF4-FFF2-40B4-BE49-F238E27FC236}">
              <a16:creationId xmlns:a16="http://schemas.microsoft.com/office/drawing/2014/main" id="{00000000-0008-0000-0100-0000A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5" name="AutoShape 158">
          <a:extLst>
            <a:ext uri="{FF2B5EF4-FFF2-40B4-BE49-F238E27FC236}">
              <a16:creationId xmlns:a16="http://schemas.microsoft.com/office/drawing/2014/main" id="{00000000-0008-0000-0100-0000A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6" name="AutoShape 124">
          <a:extLst>
            <a:ext uri="{FF2B5EF4-FFF2-40B4-BE49-F238E27FC236}">
              <a16:creationId xmlns:a16="http://schemas.microsoft.com/office/drawing/2014/main" id="{00000000-0008-0000-0100-0000B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577" name="AutoShape 80">
          <a:extLst>
            <a:ext uri="{FF2B5EF4-FFF2-40B4-BE49-F238E27FC236}">
              <a16:creationId xmlns:a16="http://schemas.microsoft.com/office/drawing/2014/main" id="{00000000-0008-0000-0100-0000B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8" name="AutoShape 84">
          <a:extLst>
            <a:ext uri="{FF2B5EF4-FFF2-40B4-BE49-F238E27FC236}">
              <a16:creationId xmlns:a16="http://schemas.microsoft.com/office/drawing/2014/main" id="{00000000-0008-0000-0100-0000B2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79" name="AutoShape 157">
          <a:extLst>
            <a:ext uri="{FF2B5EF4-FFF2-40B4-BE49-F238E27FC236}">
              <a16:creationId xmlns:a16="http://schemas.microsoft.com/office/drawing/2014/main" id="{00000000-0008-0000-0100-0000B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0" name="AutoShape 158">
          <a:extLst>
            <a:ext uri="{FF2B5EF4-FFF2-40B4-BE49-F238E27FC236}">
              <a16:creationId xmlns:a16="http://schemas.microsoft.com/office/drawing/2014/main" id="{00000000-0008-0000-0100-0000B4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1" name="AutoShape 249">
          <a:extLst>
            <a:ext uri="{FF2B5EF4-FFF2-40B4-BE49-F238E27FC236}">
              <a16:creationId xmlns:a16="http://schemas.microsoft.com/office/drawing/2014/main" id="{00000000-0008-0000-0100-0000B5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2" name="AutoShape 184">
          <a:extLst>
            <a:ext uri="{FF2B5EF4-FFF2-40B4-BE49-F238E27FC236}">
              <a16:creationId xmlns:a16="http://schemas.microsoft.com/office/drawing/2014/main" id="{00000000-0008-0000-0100-0000B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3" name="AutoShape 185">
          <a:extLst>
            <a:ext uri="{FF2B5EF4-FFF2-40B4-BE49-F238E27FC236}">
              <a16:creationId xmlns:a16="http://schemas.microsoft.com/office/drawing/2014/main" id="{00000000-0008-0000-0100-0000B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4" name="AutoShape 186">
          <a:extLst>
            <a:ext uri="{FF2B5EF4-FFF2-40B4-BE49-F238E27FC236}">
              <a16:creationId xmlns:a16="http://schemas.microsoft.com/office/drawing/2014/main" id="{00000000-0008-0000-0100-0000B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5" name="AutoShape 187">
          <a:extLst>
            <a:ext uri="{FF2B5EF4-FFF2-40B4-BE49-F238E27FC236}">
              <a16:creationId xmlns:a16="http://schemas.microsoft.com/office/drawing/2014/main" id="{00000000-0008-0000-0100-0000B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6" name="AutoShape 80">
          <a:extLst>
            <a:ext uri="{FF2B5EF4-FFF2-40B4-BE49-F238E27FC236}">
              <a16:creationId xmlns:a16="http://schemas.microsoft.com/office/drawing/2014/main" id="{00000000-0008-0000-0100-0000B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7" name="AutoShape 84">
          <a:extLst>
            <a:ext uri="{FF2B5EF4-FFF2-40B4-BE49-F238E27FC236}">
              <a16:creationId xmlns:a16="http://schemas.microsoft.com/office/drawing/2014/main" id="{00000000-0008-0000-0100-0000B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8" name="AutoShape 157">
          <a:extLst>
            <a:ext uri="{FF2B5EF4-FFF2-40B4-BE49-F238E27FC236}">
              <a16:creationId xmlns:a16="http://schemas.microsoft.com/office/drawing/2014/main" id="{00000000-0008-0000-0100-0000B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89" name="AutoShape 158">
          <a:extLst>
            <a:ext uri="{FF2B5EF4-FFF2-40B4-BE49-F238E27FC236}">
              <a16:creationId xmlns:a16="http://schemas.microsoft.com/office/drawing/2014/main" id="{00000000-0008-0000-0100-0000B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0" name="AutoShape 124">
          <a:extLst>
            <a:ext uri="{FF2B5EF4-FFF2-40B4-BE49-F238E27FC236}">
              <a16:creationId xmlns:a16="http://schemas.microsoft.com/office/drawing/2014/main" id="{00000000-0008-0000-0100-0000B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591" name="AutoShape 80">
          <a:extLst>
            <a:ext uri="{FF2B5EF4-FFF2-40B4-BE49-F238E27FC236}">
              <a16:creationId xmlns:a16="http://schemas.microsoft.com/office/drawing/2014/main" id="{00000000-0008-0000-0100-0000B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2" name="AutoShape 84">
          <a:extLst>
            <a:ext uri="{FF2B5EF4-FFF2-40B4-BE49-F238E27FC236}">
              <a16:creationId xmlns:a16="http://schemas.microsoft.com/office/drawing/2014/main" id="{00000000-0008-0000-0100-0000C0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3" name="AutoShape 157">
          <a:extLst>
            <a:ext uri="{FF2B5EF4-FFF2-40B4-BE49-F238E27FC236}">
              <a16:creationId xmlns:a16="http://schemas.microsoft.com/office/drawing/2014/main" id="{00000000-0008-0000-0100-0000C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4" name="AutoShape 158">
          <a:extLst>
            <a:ext uri="{FF2B5EF4-FFF2-40B4-BE49-F238E27FC236}">
              <a16:creationId xmlns:a16="http://schemas.microsoft.com/office/drawing/2014/main" id="{00000000-0008-0000-0100-0000C2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5" name="AutoShape 249">
          <a:extLst>
            <a:ext uri="{FF2B5EF4-FFF2-40B4-BE49-F238E27FC236}">
              <a16:creationId xmlns:a16="http://schemas.microsoft.com/office/drawing/2014/main" id="{00000000-0008-0000-0100-0000C3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6" name="AutoShape 184">
          <a:extLst>
            <a:ext uri="{FF2B5EF4-FFF2-40B4-BE49-F238E27FC236}">
              <a16:creationId xmlns:a16="http://schemas.microsoft.com/office/drawing/2014/main" id="{00000000-0008-0000-0100-0000C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7" name="AutoShape 185">
          <a:extLst>
            <a:ext uri="{FF2B5EF4-FFF2-40B4-BE49-F238E27FC236}">
              <a16:creationId xmlns:a16="http://schemas.microsoft.com/office/drawing/2014/main" id="{00000000-0008-0000-0100-0000C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8" name="AutoShape 186">
          <a:extLst>
            <a:ext uri="{FF2B5EF4-FFF2-40B4-BE49-F238E27FC236}">
              <a16:creationId xmlns:a16="http://schemas.microsoft.com/office/drawing/2014/main" id="{00000000-0008-0000-0100-0000C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599" name="AutoShape 187">
          <a:extLst>
            <a:ext uri="{FF2B5EF4-FFF2-40B4-BE49-F238E27FC236}">
              <a16:creationId xmlns:a16="http://schemas.microsoft.com/office/drawing/2014/main" id="{00000000-0008-0000-0100-0000C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0" name="AutoShape 80">
          <a:extLst>
            <a:ext uri="{FF2B5EF4-FFF2-40B4-BE49-F238E27FC236}">
              <a16:creationId xmlns:a16="http://schemas.microsoft.com/office/drawing/2014/main" id="{00000000-0008-0000-0100-0000C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1" name="AutoShape 84">
          <a:extLst>
            <a:ext uri="{FF2B5EF4-FFF2-40B4-BE49-F238E27FC236}">
              <a16:creationId xmlns:a16="http://schemas.microsoft.com/office/drawing/2014/main" id="{00000000-0008-0000-0100-0000C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2" name="AutoShape 157">
          <a:extLst>
            <a:ext uri="{FF2B5EF4-FFF2-40B4-BE49-F238E27FC236}">
              <a16:creationId xmlns:a16="http://schemas.microsoft.com/office/drawing/2014/main" id="{00000000-0008-0000-0100-0000C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3" name="AutoShape 158">
          <a:extLst>
            <a:ext uri="{FF2B5EF4-FFF2-40B4-BE49-F238E27FC236}">
              <a16:creationId xmlns:a16="http://schemas.microsoft.com/office/drawing/2014/main" id="{00000000-0008-0000-0100-0000CB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4" name="AutoShape 124">
          <a:extLst>
            <a:ext uri="{FF2B5EF4-FFF2-40B4-BE49-F238E27FC236}">
              <a16:creationId xmlns:a16="http://schemas.microsoft.com/office/drawing/2014/main" id="{00000000-0008-0000-0100-0000C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605" name="AutoShape 80">
          <a:extLst>
            <a:ext uri="{FF2B5EF4-FFF2-40B4-BE49-F238E27FC236}">
              <a16:creationId xmlns:a16="http://schemas.microsoft.com/office/drawing/2014/main" id="{00000000-0008-0000-0100-0000C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6" name="AutoShape 84">
          <a:extLst>
            <a:ext uri="{FF2B5EF4-FFF2-40B4-BE49-F238E27FC236}">
              <a16:creationId xmlns:a16="http://schemas.microsoft.com/office/drawing/2014/main" id="{00000000-0008-0000-0100-0000CE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7" name="AutoShape 157">
          <a:extLst>
            <a:ext uri="{FF2B5EF4-FFF2-40B4-BE49-F238E27FC236}">
              <a16:creationId xmlns:a16="http://schemas.microsoft.com/office/drawing/2014/main" id="{00000000-0008-0000-0100-0000C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8" name="AutoShape 158">
          <a:extLst>
            <a:ext uri="{FF2B5EF4-FFF2-40B4-BE49-F238E27FC236}">
              <a16:creationId xmlns:a16="http://schemas.microsoft.com/office/drawing/2014/main" id="{00000000-0008-0000-0100-0000D0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09" name="AutoShape 249">
          <a:extLst>
            <a:ext uri="{FF2B5EF4-FFF2-40B4-BE49-F238E27FC236}">
              <a16:creationId xmlns:a16="http://schemas.microsoft.com/office/drawing/2014/main" id="{00000000-0008-0000-0100-0000D1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0" name="AutoShape 184">
          <a:extLst>
            <a:ext uri="{FF2B5EF4-FFF2-40B4-BE49-F238E27FC236}">
              <a16:creationId xmlns:a16="http://schemas.microsoft.com/office/drawing/2014/main" id="{00000000-0008-0000-0100-0000D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1" name="AutoShape 185">
          <a:extLst>
            <a:ext uri="{FF2B5EF4-FFF2-40B4-BE49-F238E27FC236}">
              <a16:creationId xmlns:a16="http://schemas.microsoft.com/office/drawing/2014/main" id="{00000000-0008-0000-0100-0000D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2" name="AutoShape 186">
          <a:extLst>
            <a:ext uri="{FF2B5EF4-FFF2-40B4-BE49-F238E27FC236}">
              <a16:creationId xmlns:a16="http://schemas.microsoft.com/office/drawing/2014/main" id="{00000000-0008-0000-0100-0000D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3" name="AutoShape 187">
          <a:extLst>
            <a:ext uri="{FF2B5EF4-FFF2-40B4-BE49-F238E27FC236}">
              <a16:creationId xmlns:a16="http://schemas.microsoft.com/office/drawing/2014/main" id="{00000000-0008-0000-0100-0000D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4" name="AutoShape 80">
          <a:extLst>
            <a:ext uri="{FF2B5EF4-FFF2-40B4-BE49-F238E27FC236}">
              <a16:creationId xmlns:a16="http://schemas.microsoft.com/office/drawing/2014/main" id="{00000000-0008-0000-0100-0000D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5" name="AutoShape 84">
          <a:extLst>
            <a:ext uri="{FF2B5EF4-FFF2-40B4-BE49-F238E27FC236}">
              <a16:creationId xmlns:a16="http://schemas.microsoft.com/office/drawing/2014/main" id="{00000000-0008-0000-0100-0000D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6" name="AutoShape 157">
          <a:extLst>
            <a:ext uri="{FF2B5EF4-FFF2-40B4-BE49-F238E27FC236}">
              <a16:creationId xmlns:a16="http://schemas.microsoft.com/office/drawing/2014/main" id="{00000000-0008-0000-0100-0000D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7" name="AutoShape 158">
          <a:extLst>
            <a:ext uri="{FF2B5EF4-FFF2-40B4-BE49-F238E27FC236}">
              <a16:creationId xmlns:a16="http://schemas.microsoft.com/office/drawing/2014/main" id="{00000000-0008-0000-0100-0000D9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18" name="AutoShape 124">
          <a:extLst>
            <a:ext uri="{FF2B5EF4-FFF2-40B4-BE49-F238E27FC236}">
              <a16:creationId xmlns:a16="http://schemas.microsoft.com/office/drawing/2014/main" id="{00000000-0008-0000-0100-0000DA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619" name="AutoShape 80">
          <a:extLst>
            <a:ext uri="{FF2B5EF4-FFF2-40B4-BE49-F238E27FC236}">
              <a16:creationId xmlns:a16="http://schemas.microsoft.com/office/drawing/2014/main" id="{00000000-0008-0000-0100-0000D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0" name="AutoShape 84">
          <a:extLst>
            <a:ext uri="{FF2B5EF4-FFF2-40B4-BE49-F238E27FC236}">
              <a16:creationId xmlns:a16="http://schemas.microsoft.com/office/drawing/2014/main" id="{00000000-0008-0000-0100-0000DC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1" name="AutoShape 157">
          <a:extLst>
            <a:ext uri="{FF2B5EF4-FFF2-40B4-BE49-F238E27FC236}">
              <a16:creationId xmlns:a16="http://schemas.microsoft.com/office/drawing/2014/main" id="{00000000-0008-0000-0100-0000D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2" name="AutoShape 158">
          <a:extLst>
            <a:ext uri="{FF2B5EF4-FFF2-40B4-BE49-F238E27FC236}">
              <a16:creationId xmlns:a16="http://schemas.microsoft.com/office/drawing/2014/main" id="{00000000-0008-0000-0100-0000DE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3" name="AutoShape 249">
          <a:extLst>
            <a:ext uri="{FF2B5EF4-FFF2-40B4-BE49-F238E27FC236}">
              <a16:creationId xmlns:a16="http://schemas.microsoft.com/office/drawing/2014/main" id="{00000000-0008-0000-0100-0000DF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4" name="AutoShape 184">
          <a:extLst>
            <a:ext uri="{FF2B5EF4-FFF2-40B4-BE49-F238E27FC236}">
              <a16:creationId xmlns:a16="http://schemas.microsoft.com/office/drawing/2014/main" id="{00000000-0008-0000-0100-0000E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5" name="AutoShape 185">
          <a:extLst>
            <a:ext uri="{FF2B5EF4-FFF2-40B4-BE49-F238E27FC236}">
              <a16:creationId xmlns:a16="http://schemas.microsoft.com/office/drawing/2014/main" id="{00000000-0008-0000-0100-0000E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6" name="AutoShape 186">
          <a:extLst>
            <a:ext uri="{FF2B5EF4-FFF2-40B4-BE49-F238E27FC236}">
              <a16:creationId xmlns:a16="http://schemas.microsoft.com/office/drawing/2014/main" id="{00000000-0008-0000-0100-0000E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7" name="AutoShape 187">
          <a:extLst>
            <a:ext uri="{FF2B5EF4-FFF2-40B4-BE49-F238E27FC236}">
              <a16:creationId xmlns:a16="http://schemas.microsoft.com/office/drawing/2014/main" id="{00000000-0008-0000-0100-0000E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8" name="AutoShape 80">
          <a:extLst>
            <a:ext uri="{FF2B5EF4-FFF2-40B4-BE49-F238E27FC236}">
              <a16:creationId xmlns:a16="http://schemas.microsoft.com/office/drawing/2014/main" id="{00000000-0008-0000-0100-0000E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29" name="AutoShape 84">
          <a:extLst>
            <a:ext uri="{FF2B5EF4-FFF2-40B4-BE49-F238E27FC236}">
              <a16:creationId xmlns:a16="http://schemas.microsoft.com/office/drawing/2014/main" id="{00000000-0008-0000-0100-0000E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0" name="AutoShape 157">
          <a:extLst>
            <a:ext uri="{FF2B5EF4-FFF2-40B4-BE49-F238E27FC236}">
              <a16:creationId xmlns:a16="http://schemas.microsoft.com/office/drawing/2014/main" id="{00000000-0008-0000-0100-0000E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1" name="AutoShape 158">
          <a:extLst>
            <a:ext uri="{FF2B5EF4-FFF2-40B4-BE49-F238E27FC236}">
              <a16:creationId xmlns:a16="http://schemas.microsoft.com/office/drawing/2014/main" id="{00000000-0008-0000-0100-0000E7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2" name="AutoShape 124">
          <a:extLst>
            <a:ext uri="{FF2B5EF4-FFF2-40B4-BE49-F238E27FC236}">
              <a16:creationId xmlns:a16="http://schemas.microsoft.com/office/drawing/2014/main" id="{00000000-0008-0000-0100-0000E8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633" name="AutoShape 80">
          <a:extLst>
            <a:ext uri="{FF2B5EF4-FFF2-40B4-BE49-F238E27FC236}">
              <a16:creationId xmlns:a16="http://schemas.microsoft.com/office/drawing/2014/main" id="{00000000-0008-0000-0100-0000E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4" name="AutoShape 84">
          <a:extLst>
            <a:ext uri="{FF2B5EF4-FFF2-40B4-BE49-F238E27FC236}">
              <a16:creationId xmlns:a16="http://schemas.microsoft.com/office/drawing/2014/main" id="{00000000-0008-0000-0100-0000E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5" name="AutoShape 157">
          <a:extLst>
            <a:ext uri="{FF2B5EF4-FFF2-40B4-BE49-F238E27FC236}">
              <a16:creationId xmlns:a16="http://schemas.microsoft.com/office/drawing/2014/main" id="{00000000-0008-0000-0100-0000E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6" name="AutoShape 158">
          <a:extLst>
            <a:ext uri="{FF2B5EF4-FFF2-40B4-BE49-F238E27FC236}">
              <a16:creationId xmlns:a16="http://schemas.microsoft.com/office/drawing/2014/main" id="{00000000-0008-0000-0100-0000EC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7" name="AutoShape 249">
          <a:extLst>
            <a:ext uri="{FF2B5EF4-FFF2-40B4-BE49-F238E27FC236}">
              <a16:creationId xmlns:a16="http://schemas.microsoft.com/office/drawing/2014/main" id="{00000000-0008-0000-0100-0000ED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8" name="AutoShape 184">
          <a:extLst>
            <a:ext uri="{FF2B5EF4-FFF2-40B4-BE49-F238E27FC236}">
              <a16:creationId xmlns:a16="http://schemas.microsoft.com/office/drawing/2014/main" id="{00000000-0008-0000-0100-0000E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39" name="AutoShape 185">
          <a:extLst>
            <a:ext uri="{FF2B5EF4-FFF2-40B4-BE49-F238E27FC236}">
              <a16:creationId xmlns:a16="http://schemas.microsoft.com/office/drawing/2014/main" id="{00000000-0008-0000-0100-0000E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0" name="AutoShape 186">
          <a:extLst>
            <a:ext uri="{FF2B5EF4-FFF2-40B4-BE49-F238E27FC236}">
              <a16:creationId xmlns:a16="http://schemas.microsoft.com/office/drawing/2014/main" id="{00000000-0008-0000-0100-0000F0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1" name="AutoShape 187">
          <a:extLst>
            <a:ext uri="{FF2B5EF4-FFF2-40B4-BE49-F238E27FC236}">
              <a16:creationId xmlns:a16="http://schemas.microsoft.com/office/drawing/2014/main" id="{00000000-0008-0000-0100-0000F1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2" name="AutoShape 80">
          <a:extLst>
            <a:ext uri="{FF2B5EF4-FFF2-40B4-BE49-F238E27FC236}">
              <a16:creationId xmlns:a16="http://schemas.microsoft.com/office/drawing/2014/main" id="{00000000-0008-0000-0100-0000F2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3" name="AutoShape 84">
          <a:extLst>
            <a:ext uri="{FF2B5EF4-FFF2-40B4-BE49-F238E27FC236}">
              <a16:creationId xmlns:a16="http://schemas.microsoft.com/office/drawing/2014/main" id="{00000000-0008-0000-0100-0000F3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4" name="AutoShape 157">
          <a:extLst>
            <a:ext uri="{FF2B5EF4-FFF2-40B4-BE49-F238E27FC236}">
              <a16:creationId xmlns:a16="http://schemas.microsoft.com/office/drawing/2014/main" id="{00000000-0008-0000-0100-0000F4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5" name="AutoShape 158">
          <a:extLst>
            <a:ext uri="{FF2B5EF4-FFF2-40B4-BE49-F238E27FC236}">
              <a16:creationId xmlns:a16="http://schemas.microsoft.com/office/drawing/2014/main" id="{00000000-0008-0000-0100-0000F5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6" name="AutoShape 124">
          <a:extLst>
            <a:ext uri="{FF2B5EF4-FFF2-40B4-BE49-F238E27FC236}">
              <a16:creationId xmlns:a16="http://schemas.microsoft.com/office/drawing/2014/main" id="{00000000-0008-0000-0100-0000F6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647" name="AutoShape 80">
          <a:extLst>
            <a:ext uri="{FF2B5EF4-FFF2-40B4-BE49-F238E27FC236}">
              <a16:creationId xmlns:a16="http://schemas.microsoft.com/office/drawing/2014/main" id="{00000000-0008-0000-0100-0000F7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8" name="AutoShape 84">
          <a:extLst>
            <a:ext uri="{FF2B5EF4-FFF2-40B4-BE49-F238E27FC236}">
              <a16:creationId xmlns:a16="http://schemas.microsoft.com/office/drawing/2014/main" id="{00000000-0008-0000-0100-0000F8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49" name="AutoShape 157">
          <a:extLst>
            <a:ext uri="{FF2B5EF4-FFF2-40B4-BE49-F238E27FC236}">
              <a16:creationId xmlns:a16="http://schemas.microsoft.com/office/drawing/2014/main" id="{00000000-0008-0000-0100-0000F9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0" name="AutoShape 158">
          <a:extLst>
            <a:ext uri="{FF2B5EF4-FFF2-40B4-BE49-F238E27FC236}">
              <a16:creationId xmlns:a16="http://schemas.microsoft.com/office/drawing/2014/main" id="{00000000-0008-0000-0100-0000FA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1" name="AutoShape 249">
          <a:extLst>
            <a:ext uri="{FF2B5EF4-FFF2-40B4-BE49-F238E27FC236}">
              <a16:creationId xmlns:a16="http://schemas.microsoft.com/office/drawing/2014/main" id="{00000000-0008-0000-0100-0000FB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2" name="AutoShape 184">
          <a:extLst>
            <a:ext uri="{FF2B5EF4-FFF2-40B4-BE49-F238E27FC236}">
              <a16:creationId xmlns:a16="http://schemas.microsoft.com/office/drawing/2014/main" id="{00000000-0008-0000-0100-0000FC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3" name="AutoShape 185">
          <a:extLst>
            <a:ext uri="{FF2B5EF4-FFF2-40B4-BE49-F238E27FC236}">
              <a16:creationId xmlns:a16="http://schemas.microsoft.com/office/drawing/2014/main" id="{00000000-0008-0000-0100-0000FD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4" name="AutoShape 186">
          <a:extLst>
            <a:ext uri="{FF2B5EF4-FFF2-40B4-BE49-F238E27FC236}">
              <a16:creationId xmlns:a16="http://schemas.microsoft.com/office/drawing/2014/main" id="{00000000-0008-0000-0100-0000FE19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5" name="AutoShape 187">
          <a:extLst>
            <a:ext uri="{FF2B5EF4-FFF2-40B4-BE49-F238E27FC236}">
              <a16:creationId xmlns:a16="http://schemas.microsoft.com/office/drawing/2014/main" id="{00000000-0008-0000-0100-0000FF19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6" name="AutoShape 80">
          <a:extLst>
            <a:ext uri="{FF2B5EF4-FFF2-40B4-BE49-F238E27FC236}">
              <a16:creationId xmlns:a16="http://schemas.microsoft.com/office/drawing/2014/main" id="{00000000-0008-0000-0100-00000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7" name="AutoShape 84">
          <a:extLst>
            <a:ext uri="{FF2B5EF4-FFF2-40B4-BE49-F238E27FC236}">
              <a16:creationId xmlns:a16="http://schemas.microsoft.com/office/drawing/2014/main" id="{00000000-0008-0000-0100-00000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8" name="AutoShape 157">
          <a:extLst>
            <a:ext uri="{FF2B5EF4-FFF2-40B4-BE49-F238E27FC236}">
              <a16:creationId xmlns:a16="http://schemas.microsoft.com/office/drawing/2014/main" id="{00000000-0008-0000-0100-00000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59" name="AutoShape 158">
          <a:extLst>
            <a:ext uri="{FF2B5EF4-FFF2-40B4-BE49-F238E27FC236}">
              <a16:creationId xmlns:a16="http://schemas.microsoft.com/office/drawing/2014/main" id="{00000000-0008-0000-0100-000003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0" name="AutoShape 124">
          <a:extLst>
            <a:ext uri="{FF2B5EF4-FFF2-40B4-BE49-F238E27FC236}">
              <a16:creationId xmlns:a16="http://schemas.microsoft.com/office/drawing/2014/main" id="{00000000-0008-0000-0100-00000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6661" name="AutoShape 80">
          <a:extLst>
            <a:ext uri="{FF2B5EF4-FFF2-40B4-BE49-F238E27FC236}">
              <a16:creationId xmlns:a16="http://schemas.microsoft.com/office/drawing/2014/main" id="{00000000-0008-0000-0100-000005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2" name="AutoShape 84">
          <a:extLst>
            <a:ext uri="{FF2B5EF4-FFF2-40B4-BE49-F238E27FC236}">
              <a16:creationId xmlns:a16="http://schemas.microsoft.com/office/drawing/2014/main" id="{00000000-0008-0000-0100-000006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3" name="AutoShape 157">
          <a:extLst>
            <a:ext uri="{FF2B5EF4-FFF2-40B4-BE49-F238E27FC236}">
              <a16:creationId xmlns:a16="http://schemas.microsoft.com/office/drawing/2014/main" id="{00000000-0008-0000-0100-000007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4" name="AutoShape 158">
          <a:extLst>
            <a:ext uri="{FF2B5EF4-FFF2-40B4-BE49-F238E27FC236}">
              <a16:creationId xmlns:a16="http://schemas.microsoft.com/office/drawing/2014/main" id="{00000000-0008-0000-0100-000008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5" name="AutoShape 249">
          <a:extLst>
            <a:ext uri="{FF2B5EF4-FFF2-40B4-BE49-F238E27FC236}">
              <a16:creationId xmlns:a16="http://schemas.microsoft.com/office/drawing/2014/main" id="{00000000-0008-0000-0100-000009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6" name="AutoShape 184">
          <a:extLst>
            <a:ext uri="{FF2B5EF4-FFF2-40B4-BE49-F238E27FC236}">
              <a16:creationId xmlns:a16="http://schemas.microsoft.com/office/drawing/2014/main" id="{00000000-0008-0000-0100-00000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7" name="AutoShape 185">
          <a:extLst>
            <a:ext uri="{FF2B5EF4-FFF2-40B4-BE49-F238E27FC236}">
              <a16:creationId xmlns:a16="http://schemas.microsoft.com/office/drawing/2014/main" id="{00000000-0008-0000-0100-00000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8" name="AutoShape 186">
          <a:extLst>
            <a:ext uri="{FF2B5EF4-FFF2-40B4-BE49-F238E27FC236}">
              <a16:creationId xmlns:a16="http://schemas.microsoft.com/office/drawing/2014/main" id="{00000000-0008-0000-0100-00000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152</xdr:row>
      <xdr:rowOff>0</xdr:rowOff>
    </xdr:from>
    <xdr:to>
      <xdr:col>19</xdr:col>
      <xdr:colOff>495300</xdr:colOff>
      <xdr:row>152</xdr:row>
      <xdr:rowOff>0</xdr:rowOff>
    </xdr:to>
    <xdr:sp macro="" textlink="">
      <xdr:nvSpPr>
        <xdr:cNvPr id="6669" name="AutoShape 187">
          <a:extLst>
            <a:ext uri="{FF2B5EF4-FFF2-40B4-BE49-F238E27FC236}">
              <a16:creationId xmlns:a16="http://schemas.microsoft.com/office/drawing/2014/main" id="{00000000-0008-0000-0100-00000D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0" name="AutoShape 80">
          <a:extLst>
            <a:ext uri="{FF2B5EF4-FFF2-40B4-BE49-F238E27FC236}">
              <a16:creationId xmlns:a16="http://schemas.microsoft.com/office/drawing/2014/main" id="{00000000-0008-0000-0100-00000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1" name="AutoShape 84">
          <a:extLst>
            <a:ext uri="{FF2B5EF4-FFF2-40B4-BE49-F238E27FC236}">
              <a16:creationId xmlns:a16="http://schemas.microsoft.com/office/drawing/2014/main" id="{00000000-0008-0000-0100-00000F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2" name="AutoShape 157">
          <a:extLst>
            <a:ext uri="{FF2B5EF4-FFF2-40B4-BE49-F238E27FC236}">
              <a16:creationId xmlns:a16="http://schemas.microsoft.com/office/drawing/2014/main" id="{00000000-0008-0000-0100-00001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3" name="AutoShape 158">
          <a:extLst>
            <a:ext uri="{FF2B5EF4-FFF2-40B4-BE49-F238E27FC236}">
              <a16:creationId xmlns:a16="http://schemas.microsoft.com/office/drawing/2014/main" id="{00000000-0008-0000-0100-00001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4" name="AutoShape 124">
          <a:extLst>
            <a:ext uri="{FF2B5EF4-FFF2-40B4-BE49-F238E27FC236}">
              <a16:creationId xmlns:a16="http://schemas.microsoft.com/office/drawing/2014/main" id="{00000000-0008-0000-0100-00001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675" name="AutoShape 80">
          <a:extLst>
            <a:ext uri="{FF2B5EF4-FFF2-40B4-BE49-F238E27FC236}">
              <a16:creationId xmlns:a16="http://schemas.microsoft.com/office/drawing/2014/main" id="{00000000-0008-0000-0100-000013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6" name="AutoShape 84">
          <a:extLst>
            <a:ext uri="{FF2B5EF4-FFF2-40B4-BE49-F238E27FC236}">
              <a16:creationId xmlns:a16="http://schemas.microsoft.com/office/drawing/2014/main" id="{00000000-0008-0000-0100-000014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7" name="AutoShape 157">
          <a:extLst>
            <a:ext uri="{FF2B5EF4-FFF2-40B4-BE49-F238E27FC236}">
              <a16:creationId xmlns:a16="http://schemas.microsoft.com/office/drawing/2014/main" id="{00000000-0008-0000-0100-000015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8" name="AutoShape 158">
          <a:extLst>
            <a:ext uri="{FF2B5EF4-FFF2-40B4-BE49-F238E27FC236}">
              <a16:creationId xmlns:a16="http://schemas.microsoft.com/office/drawing/2014/main" id="{00000000-0008-0000-0100-000016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79" name="AutoShape 249">
          <a:extLst>
            <a:ext uri="{FF2B5EF4-FFF2-40B4-BE49-F238E27FC236}">
              <a16:creationId xmlns:a16="http://schemas.microsoft.com/office/drawing/2014/main" id="{00000000-0008-0000-0100-000017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0" name="AutoShape 184">
          <a:extLst>
            <a:ext uri="{FF2B5EF4-FFF2-40B4-BE49-F238E27FC236}">
              <a16:creationId xmlns:a16="http://schemas.microsoft.com/office/drawing/2014/main" id="{00000000-0008-0000-0100-00001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1" name="AutoShape 185">
          <a:extLst>
            <a:ext uri="{FF2B5EF4-FFF2-40B4-BE49-F238E27FC236}">
              <a16:creationId xmlns:a16="http://schemas.microsoft.com/office/drawing/2014/main" id="{00000000-0008-0000-0100-000019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2" name="AutoShape 186">
          <a:extLst>
            <a:ext uri="{FF2B5EF4-FFF2-40B4-BE49-F238E27FC236}">
              <a16:creationId xmlns:a16="http://schemas.microsoft.com/office/drawing/2014/main" id="{00000000-0008-0000-0100-00001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3" name="AutoShape 187">
          <a:extLst>
            <a:ext uri="{FF2B5EF4-FFF2-40B4-BE49-F238E27FC236}">
              <a16:creationId xmlns:a16="http://schemas.microsoft.com/office/drawing/2014/main" id="{00000000-0008-0000-0100-00001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4" name="AutoShape 80">
          <a:extLst>
            <a:ext uri="{FF2B5EF4-FFF2-40B4-BE49-F238E27FC236}">
              <a16:creationId xmlns:a16="http://schemas.microsoft.com/office/drawing/2014/main" id="{00000000-0008-0000-0100-00001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5" name="AutoShape 84">
          <a:extLst>
            <a:ext uri="{FF2B5EF4-FFF2-40B4-BE49-F238E27FC236}">
              <a16:creationId xmlns:a16="http://schemas.microsoft.com/office/drawing/2014/main" id="{00000000-0008-0000-0100-00001D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6" name="AutoShape 157">
          <a:extLst>
            <a:ext uri="{FF2B5EF4-FFF2-40B4-BE49-F238E27FC236}">
              <a16:creationId xmlns:a16="http://schemas.microsoft.com/office/drawing/2014/main" id="{00000000-0008-0000-0100-00001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7" name="AutoShape 158">
          <a:extLst>
            <a:ext uri="{FF2B5EF4-FFF2-40B4-BE49-F238E27FC236}">
              <a16:creationId xmlns:a16="http://schemas.microsoft.com/office/drawing/2014/main" id="{00000000-0008-0000-0100-00001F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88" name="AutoShape 124">
          <a:extLst>
            <a:ext uri="{FF2B5EF4-FFF2-40B4-BE49-F238E27FC236}">
              <a16:creationId xmlns:a16="http://schemas.microsoft.com/office/drawing/2014/main" id="{00000000-0008-0000-0100-00002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689" name="AutoShape 80">
          <a:extLst>
            <a:ext uri="{FF2B5EF4-FFF2-40B4-BE49-F238E27FC236}">
              <a16:creationId xmlns:a16="http://schemas.microsoft.com/office/drawing/2014/main" id="{00000000-0008-0000-0100-000021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0" name="AutoShape 84">
          <a:extLst>
            <a:ext uri="{FF2B5EF4-FFF2-40B4-BE49-F238E27FC236}">
              <a16:creationId xmlns:a16="http://schemas.microsoft.com/office/drawing/2014/main" id="{00000000-0008-0000-0100-000022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1" name="AutoShape 157">
          <a:extLst>
            <a:ext uri="{FF2B5EF4-FFF2-40B4-BE49-F238E27FC236}">
              <a16:creationId xmlns:a16="http://schemas.microsoft.com/office/drawing/2014/main" id="{00000000-0008-0000-0100-000023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2" name="AutoShape 158">
          <a:extLst>
            <a:ext uri="{FF2B5EF4-FFF2-40B4-BE49-F238E27FC236}">
              <a16:creationId xmlns:a16="http://schemas.microsoft.com/office/drawing/2014/main" id="{00000000-0008-0000-0100-000024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3" name="AutoShape 249">
          <a:extLst>
            <a:ext uri="{FF2B5EF4-FFF2-40B4-BE49-F238E27FC236}">
              <a16:creationId xmlns:a16="http://schemas.microsoft.com/office/drawing/2014/main" id="{00000000-0008-0000-0100-000025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4" name="AutoShape 184">
          <a:extLst>
            <a:ext uri="{FF2B5EF4-FFF2-40B4-BE49-F238E27FC236}">
              <a16:creationId xmlns:a16="http://schemas.microsoft.com/office/drawing/2014/main" id="{00000000-0008-0000-0100-000026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5" name="AutoShape 185">
          <a:extLst>
            <a:ext uri="{FF2B5EF4-FFF2-40B4-BE49-F238E27FC236}">
              <a16:creationId xmlns:a16="http://schemas.microsoft.com/office/drawing/2014/main" id="{00000000-0008-0000-0100-000027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6" name="AutoShape 186">
          <a:extLst>
            <a:ext uri="{FF2B5EF4-FFF2-40B4-BE49-F238E27FC236}">
              <a16:creationId xmlns:a16="http://schemas.microsoft.com/office/drawing/2014/main" id="{00000000-0008-0000-0100-00002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7" name="AutoShape 187">
          <a:extLst>
            <a:ext uri="{FF2B5EF4-FFF2-40B4-BE49-F238E27FC236}">
              <a16:creationId xmlns:a16="http://schemas.microsoft.com/office/drawing/2014/main" id="{00000000-0008-0000-0100-000029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8" name="AutoShape 80">
          <a:extLst>
            <a:ext uri="{FF2B5EF4-FFF2-40B4-BE49-F238E27FC236}">
              <a16:creationId xmlns:a16="http://schemas.microsoft.com/office/drawing/2014/main" id="{00000000-0008-0000-0100-00002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699" name="AutoShape 84">
          <a:extLst>
            <a:ext uri="{FF2B5EF4-FFF2-40B4-BE49-F238E27FC236}">
              <a16:creationId xmlns:a16="http://schemas.microsoft.com/office/drawing/2014/main" id="{00000000-0008-0000-0100-00002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0" name="AutoShape 157">
          <a:extLst>
            <a:ext uri="{FF2B5EF4-FFF2-40B4-BE49-F238E27FC236}">
              <a16:creationId xmlns:a16="http://schemas.microsoft.com/office/drawing/2014/main" id="{00000000-0008-0000-0100-00002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1" name="AutoShape 158">
          <a:extLst>
            <a:ext uri="{FF2B5EF4-FFF2-40B4-BE49-F238E27FC236}">
              <a16:creationId xmlns:a16="http://schemas.microsoft.com/office/drawing/2014/main" id="{00000000-0008-0000-0100-00002D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2" name="AutoShape 124">
          <a:extLst>
            <a:ext uri="{FF2B5EF4-FFF2-40B4-BE49-F238E27FC236}">
              <a16:creationId xmlns:a16="http://schemas.microsoft.com/office/drawing/2014/main" id="{00000000-0008-0000-0100-00002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03" name="AutoShape 80">
          <a:extLst>
            <a:ext uri="{FF2B5EF4-FFF2-40B4-BE49-F238E27FC236}">
              <a16:creationId xmlns:a16="http://schemas.microsoft.com/office/drawing/2014/main" id="{00000000-0008-0000-0100-00002F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4" name="AutoShape 84">
          <a:extLst>
            <a:ext uri="{FF2B5EF4-FFF2-40B4-BE49-F238E27FC236}">
              <a16:creationId xmlns:a16="http://schemas.microsoft.com/office/drawing/2014/main" id="{00000000-0008-0000-0100-000030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5" name="AutoShape 157">
          <a:extLst>
            <a:ext uri="{FF2B5EF4-FFF2-40B4-BE49-F238E27FC236}">
              <a16:creationId xmlns:a16="http://schemas.microsoft.com/office/drawing/2014/main" id="{00000000-0008-0000-0100-000031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6" name="AutoShape 158">
          <a:extLst>
            <a:ext uri="{FF2B5EF4-FFF2-40B4-BE49-F238E27FC236}">
              <a16:creationId xmlns:a16="http://schemas.microsoft.com/office/drawing/2014/main" id="{00000000-0008-0000-0100-000032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7" name="AutoShape 249">
          <a:extLst>
            <a:ext uri="{FF2B5EF4-FFF2-40B4-BE49-F238E27FC236}">
              <a16:creationId xmlns:a16="http://schemas.microsoft.com/office/drawing/2014/main" id="{00000000-0008-0000-0100-000033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8" name="AutoShape 184">
          <a:extLst>
            <a:ext uri="{FF2B5EF4-FFF2-40B4-BE49-F238E27FC236}">
              <a16:creationId xmlns:a16="http://schemas.microsoft.com/office/drawing/2014/main" id="{00000000-0008-0000-0100-00003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09" name="AutoShape 185">
          <a:extLst>
            <a:ext uri="{FF2B5EF4-FFF2-40B4-BE49-F238E27FC236}">
              <a16:creationId xmlns:a16="http://schemas.microsoft.com/office/drawing/2014/main" id="{00000000-0008-0000-0100-000035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0" name="AutoShape 186">
          <a:extLst>
            <a:ext uri="{FF2B5EF4-FFF2-40B4-BE49-F238E27FC236}">
              <a16:creationId xmlns:a16="http://schemas.microsoft.com/office/drawing/2014/main" id="{00000000-0008-0000-0100-000036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1" name="AutoShape 187">
          <a:extLst>
            <a:ext uri="{FF2B5EF4-FFF2-40B4-BE49-F238E27FC236}">
              <a16:creationId xmlns:a16="http://schemas.microsoft.com/office/drawing/2014/main" id="{00000000-0008-0000-0100-000037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2" name="AutoShape 80">
          <a:extLst>
            <a:ext uri="{FF2B5EF4-FFF2-40B4-BE49-F238E27FC236}">
              <a16:creationId xmlns:a16="http://schemas.microsoft.com/office/drawing/2014/main" id="{00000000-0008-0000-0100-00003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3" name="AutoShape 84">
          <a:extLst>
            <a:ext uri="{FF2B5EF4-FFF2-40B4-BE49-F238E27FC236}">
              <a16:creationId xmlns:a16="http://schemas.microsoft.com/office/drawing/2014/main" id="{00000000-0008-0000-0100-000039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4" name="AutoShape 157">
          <a:extLst>
            <a:ext uri="{FF2B5EF4-FFF2-40B4-BE49-F238E27FC236}">
              <a16:creationId xmlns:a16="http://schemas.microsoft.com/office/drawing/2014/main" id="{00000000-0008-0000-0100-00003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5" name="AutoShape 158">
          <a:extLst>
            <a:ext uri="{FF2B5EF4-FFF2-40B4-BE49-F238E27FC236}">
              <a16:creationId xmlns:a16="http://schemas.microsoft.com/office/drawing/2014/main" id="{00000000-0008-0000-0100-00003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6" name="AutoShape 124">
          <a:extLst>
            <a:ext uri="{FF2B5EF4-FFF2-40B4-BE49-F238E27FC236}">
              <a16:creationId xmlns:a16="http://schemas.microsoft.com/office/drawing/2014/main" id="{00000000-0008-0000-0100-00003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17" name="AutoShape 80">
          <a:extLst>
            <a:ext uri="{FF2B5EF4-FFF2-40B4-BE49-F238E27FC236}">
              <a16:creationId xmlns:a16="http://schemas.microsoft.com/office/drawing/2014/main" id="{00000000-0008-0000-0100-00003D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8" name="AutoShape 84">
          <a:extLst>
            <a:ext uri="{FF2B5EF4-FFF2-40B4-BE49-F238E27FC236}">
              <a16:creationId xmlns:a16="http://schemas.microsoft.com/office/drawing/2014/main" id="{00000000-0008-0000-0100-00003E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19" name="AutoShape 157">
          <a:extLst>
            <a:ext uri="{FF2B5EF4-FFF2-40B4-BE49-F238E27FC236}">
              <a16:creationId xmlns:a16="http://schemas.microsoft.com/office/drawing/2014/main" id="{00000000-0008-0000-0100-00003F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0" name="AutoShape 158">
          <a:extLst>
            <a:ext uri="{FF2B5EF4-FFF2-40B4-BE49-F238E27FC236}">
              <a16:creationId xmlns:a16="http://schemas.microsoft.com/office/drawing/2014/main" id="{00000000-0008-0000-0100-000040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1" name="AutoShape 249">
          <a:extLst>
            <a:ext uri="{FF2B5EF4-FFF2-40B4-BE49-F238E27FC236}">
              <a16:creationId xmlns:a16="http://schemas.microsoft.com/office/drawing/2014/main" id="{00000000-0008-0000-0100-000041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2" name="AutoShape 184">
          <a:extLst>
            <a:ext uri="{FF2B5EF4-FFF2-40B4-BE49-F238E27FC236}">
              <a16:creationId xmlns:a16="http://schemas.microsoft.com/office/drawing/2014/main" id="{00000000-0008-0000-0100-00004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3" name="AutoShape 185">
          <a:extLst>
            <a:ext uri="{FF2B5EF4-FFF2-40B4-BE49-F238E27FC236}">
              <a16:creationId xmlns:a16="http://schemas.microsoft.com/office/drawing/2014/main" id="{00000000-0008-0000-0100-000043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4" name="AutoShape 186">
          <a:extLst>
            <a:ext uri="{FF2B5EF4-FFF2-40B4-BE49-F238E27FC236}">
              <a16:creationId xmlns:a16="http://schemas.microsoft.com/office/drawing/2014/main" id="{00000000-0008-0000-0100-00004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5" name="AutoShape 187">
          <a:extLst>
            <a:ext uri="{FF2B5EF4-FFF2-40B4-BE49-F238E27FC236}">
              <a16:creationId xmlns:a16="http://schemas.microsoft.com/office/drawing/2014/main" id="{00000000-0008-0000-0100-000045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6" name="AutoShape 80">
          <a:extLst>
            <a:ext uri="{FF2B5EF4-FFF2-40B4-BE49-F238E27FC236}">
              <a16:creationId xmlns:a16="http://schemas.microsoft.com/office/drawing/2014/main" id="{00000000-0008-0000-0100-000046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7" name="AutoShape 84">
          <a:extLst>
            <a:ext uri="{FF2B5EF4-FFF2-40B4-BE49-F238E27FC236}">
              <a16:creationId xmlns:a16="http://schemas.microsoft.com/office/drawing/2014/main" id="{00000000-0008-0000-0100-000047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8" name="AutoShape 157">
          <a:extLst>
            <a:ext uri="{FF2B5EF4-FFF2-40B4-BE49-F238E27FC236}">
              <a16:creationId xmlns:a16="http://schemas.microsoft.com/office/drawing/2014/main" id="{00000000-0008-0000-0100-00004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29" name="AutoShape 158">
          <a:extLst>
            <a:ext uri="{FF2B5EF4-FFF2-40B4-BE49-F238E27FC236}">
              <a16:creationId xmlns:a16="http://schemas.microsoft.com/office/drawing/2014/main" id="{00000000-0008-0000-0100-000049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0" name="AutoShape 124">
          <a:extLst>
            <a:ext uri="{FF2B5EF4-FFF2-40B4-BE49-F238E27FC236}">
              <a16:creationId xmlns:a16="http://schemas.microsoft.com/office/drawing/2014/main" id="{00000000-0008-0000-0100-00004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31" name="AutoShape 80">
          <a:extLst>
            <a:ext uri="{FF2B5EF4-FFF2-40B4-BE49-F238E27FC236}">
              <a16:creationId xmlns:a16="http://schemas.microsoft.com/office/drawing/2014/main" id="{00000000-0008-0000-0100-00004B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2" name="AutoShape 84">
          <a:extLst>
            <a:ext uri="{FF2B5EF4-FFF2-40B4-BE49-F238E27FC236}">
              <a16:creationId xmlns:a16="http://schemas.microsoft.com/office/drawing/2014/main" id="{00000000-0008-0000-0100-00004C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3" name="AutoShape 157">
          <a:extLst>
            <a:ext uri="{FF2B5EF4-FFF2-40B4-BE49-F238E27FC236}">
              <a16:creationId xmlns:a16="http://schemas.microsoft.com/office/drawing/2014/main" id="{00000000-0008-0000-0100-00004D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4" name="AutoShape 158">
          <a:extLst>
            <a:ext uri="{FF2B5EF4-FFF2-40B4-BE49-F238E27FC236}">
              <a16:creationId xmlns:a16="http://schemas.microsoft.com/office/drawing/2014/main" id="{00000000-0008-0000-0100-00004E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5" name="AutoShape 249">
          <a:extLst>
            <a:ext uri="{FF2B5EF4-FFF2-40B4-BE49-F238E27FC236}">
              <a16:creationId xmlns:a16="http://schemas.microsoft.com/office/drawing/2014/main" id="{00000000-0008-0000-0100-00004F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6" name="AutoShape 184">
          <a:extLst>
            <a:ext uri="{FF2B5EF4-FFF2-40B4-BE49-F238E27FC236}">
              <a16:creationId xmlns:a16="http://schemas.microsoft.com/office/drawing/2014/main" id="{00000000-0008-0000-0100-00005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7" name="AutoShape 185">
          <a:extLst>
            <a:ext uri="{FF2B5EF4-FFF2-40B4-BE49-F238E27FC236}">
              <a16:creationId xmlns:a16="http://schemas.microsoft.com/office/drawing/2014/main" id="{00000000-0008-0000-0100-00005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8" name="AutoShape 186">
          <a:extLst>
            <a:ext uri="{FF2B5EF4-FFF2-40B4-BE49-F238E27FC236}">
              <a16:creationId xmlns:a16="http://schemas.microsoft.com/office/drawing/2014/main" id="{00000000-0008-0000-0100-00005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39" name="AutoShape 187">
          <a:extLst>
            <a:ext uri="{FF2B5EF4-FFF2-40B4-BE49-F238E27FC236}">
              <a16:creationId xmlns:a16="http://schemas.microsoft.com/office/drawing/2014/main" id="{00000000-0008-0000-0100-000053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0" name="AutoShape 80">
          <a:extLst>
            <a:ext uri="{FF2B5EF4-FFF2-40B4-BE49-F238E27FC236}">
              <a16:creationId xmlns:a16="http://schemas.microsoft.com/office/drawing/2014/main" id="{00000000-0008-0000-0100-00005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1" name="AutoShape 84">
          <a:extLst>
            <a:ext uri="{FF2B5EF4-FFF2-40B4-BE49-F238E27FC236}">
              <a16:creationId xmlns:a16="http://schemas.microsoft.com/office/drawing/2014/main" id="{00000000-0008-0000-0100-000055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2" name="AutoShape 157">
          <a:extLst>
            <a:ext uri="{FF2B5EF4-FFF2-40B4-BE49-F238E27FC236}">
              <a16:creationId xmlns:a16="http://schemas.microsoft.com/office/drawing/2014/main" id="{00000000-0008-0000-0100-000056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3" name="AutoShape 158">
          <a:extLst>
            <a:ext uri="{FF2B5EF4-FFF2-40B4-BE49-F238E27FC236}">
              <a16:creationId xmlns:a16="http://schemas.microsoft.com/office/drawing/2014/main" id="{00000000-0008-0000-0100-000057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4" name="AutoShape 124">
          <a:extLst>
            <a:ext uri="{FF2B5EF4-FFF2-40B4-BE49-F238E27FC236}">
              <a16:creationId xmlns:a16="http://schemas.microsoft.com/office/drawing/2014/main" id="{00000000-0008-0000-0100-00005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45" name="AutoShape 80">
          <a:extLst>
            <a:ext uri="{FF2B5EF4-FFF2-40B4-BE49-F238E27FC236}">
              <a16:creationId xmlns:a16="http://schemas.microsoft.com/office/drawing/2014/main" id="{00000000-0008-0000-0100-000059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6" name="AutoShape 84">
          <a:extLst>
            <a:ext uri="{FF2B5EF4-FFF2-40B4-BE49-F238E27FC236}">
              <a16:creationId xmlns:a16="http://schemas.microsoft.com/office/drawing/2014/main" id="{00000000-0008-0000-0100-00005A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7" name="AutoShape 157">
          <a:extLst>
            <a:ext uri="{FF2B5EF4-FFF2-40B4-BE49-F238E27FC236}">
              <a16:creationId xmlns:a16="http://schemas.microsoft.com/office/drawing/2014/main" id="{00000000-0008-0000-0100-00005B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8" name="AutoShape 158">
          <a:extLst>
            <a:ext uri="{FF2B5EF4-FFF2-40B4-BE49-F238E27FC236}">
              <a16:creationId xmlns:a16="http://schemas.microsoft.com/office/drawing/2014/main" id="{00000000-0008-0000-0100-00005C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49" name="AutoShape 249">
          <a:extLst>
            <a:ext uri="{FF2B5EF4-FFF2-40B4-BE49-F238E27FC236}">
              <a16:creationId xmlns:a16="http://schemas.microsoft.com/office/drawing/2014/main" id="{00000000-0008-0000-0100-00005D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0" name="AutoShape 184">
          <a:extLst>
            <a:ext uri="{FF2B5EF4-FFF2-40B4-BE49-F238E27FC236}">
              <a16:creationId xmlns:a16="http://schemas.microsoft.com/office/drawing/2014/main" id="{00000000-0008-0000-0100-00005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1" name="AutoShape 185">
          <a:extLst>
            <a:ext uri="{FF2B5EF4-FFF2-40B4-BE49-F238E27FC236}">
              <a16:creationId xmlns:a16="http://schemas.microsoft.com/office/drawing/2014/main" id="{00000000-0008-0000-0100-00005F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2" name="AutoShape 186">
          <a:extLst>
            <a:ext uri="{FF2B5EF4-FFF2-40B4-BE49-F238E27FC236}">
              <a16:creationId xmlns:a16="http://schemas.microsoft.com/office/drawing/2014/main" id="{00000000-0008-0000-0100-00006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3" name="AutoShape 187">
          <a:extLst>
            <a:ext uri="{FF2B5EF4-FFF2-40B4-BE49-F238E27FC236}">
              <a16:creationId xmlns:a16="http://schemas.microsoft.com/office/drawing/2014/main" id="{00000000-0008-0000-0100-00006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4" name="AutoShape 80">
          <a:extLst>
            <a:ext uri="{FF2B5EF4-FFF2-40B4-BE49-F238E27FC236}">
              <a16:creationId xmlns:a16="http://schemas.microsoft.com/office/drawing/2014/main" id="{00000000-0008-0000-0100-00006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5" name="AutoShape 84">
          <a:extLst>
            <a:ext uri="{FF2B5EF4-FFF2-40B4-BE49-F238E27FC236}">
              <a16:creationId xmlns:a16="http://schemas.microsoft.com/office/drawing/2014/main" id="{00000000-0008-0000-0100-000063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6" name="AutoShape 157">
          <a:extLst>
            <a:ext uri="{FF2B5EF4-FFF2-40B4-BE49-F238E27FC236}">
              <a16:creationId xmlns:a16="http://schemas.microsoft.com/office/drawing/2014/main" id="{00000000-0008-0000-0100-00006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7" name="AutoShape 158">
          <a:extLst>
            <a:ext uri="{FF2B5EF4-FFF2-40B4-BE49-F238E27FC236}">
              <a16:creationId xmlns:a16="http://schemas.microsoft.com/office/drawing/2014/main" id="{00000000-0008-0000-0100-000065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58" name="AutoShape 124">
          <a:extLst>
            <a:ext uri="{FF2B5EF4-FFF2-40B4-BE49-F238E27FC236}">
              <a16:creationId xmlns:a16="http://schemas.microsoft.com/office/drawing/2014/main" id="{00000000-0008-0000-0100-000066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59" name="AutoShape 80">
          <a:extLst>
            <a:ext uri="{FF2B5EF4-FFF2-40B4-BE49-F238E27FC236}">
              <a16:creationId xmlns:a16="http://schemas.microsoft.com/office/drawing/2014/main" id="{00000000-0008-0000-0100-000067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0" name="AutoShape 84">
          <a:extLst>
            <a:ext uri="{FF2B5EF4-FFF2-40B4-BE49-F238E27FC236}">
              <a16:creationId xmlns:a16="http://schemas.microsoft.com/office/drawing/2014/main" id="{00000000-0008-0000-0100-000068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1" name="AutoShape 157">
          <a:extLst>
            <a:ext uri="{FF2B5EF4-FFF2-40B4-BE49-F238E27FC236}">
              <a16:creationId xmlns:a16="http://schemas.microsoft.com/office/drawing/2014/main" id="{00000000-0008-0000-0100-000069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2" name="AutoShape 158">
          <a:extLst>
            <a:ext uri="{FF2B5EF4-FFF2-40B4-BE49-F238E27FC236}">
              <a16:creationId xmlns:a16="http://schemas.microsoft.com/office/drawing/2014/main" id="{00000000-0008-0000-0100-00006A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3" name="AutoShape 249">
          <a:extLst>
            <a:ext uri="{FF2B5EF4-FFF2-40B4-BE49-F238E27FC236}">
              <a16:creationId xmlns:a16="http://schemas.microsoft.com/office/drawing/2014/main" id="{00000000-0008-0000-0100-00006B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4" name="AutoShape 184">
          <a:extLst>
            <a:ext uri="{FF2B5EF4-FFF2-40B4-BE49-F238E27FC236}">
              <a16:creationId xmlns:a16="http://schemas.microsoft.com/office/drawing/2014/main" id="{00000000-0008-0000-0100-00006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5" name="AutoShape 185">
          <a:extLst>
            <a:ext uri="{FF2B5EF4-FFF2-40B4-BE49-F238E27FC236}">
              <a16:creationId xmlns:a16="http://schemas.microsoft.com/office/drawing/2014/main" id="{00000000-0008-0000-0100-00006D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6" name="AutoShape 186">
          <a:extLst>
            <a:ext uri="{FF2B5EF4-FFF2-40B4-BE49-F238E27FC236}">
              <a16:creationId xmlns:a16="http://schemas.microsoft.com/office/drawing/2014/main" id="{00000000-0008-0000-0100-00006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7" name="AutoShape 187">
          <a:extLst>
            <a:ext uri="{FF2B5EF4-FFF2-40B4-BE49-F238E27FC236}">
              <a16:creationId xmlns:a16="http://schemas.microsoft.com/office/drawing/2014/main" id="{00000000-0008-0000-0100-00006F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8" name="AutoShape 80">
          <a:extLst>
            <a:ext uri="{FF2B5EF4-FFF2-40B4-BE49-F238E27FC236}">
              <a16:creationId xmlns:a16="http://schemas.microsoft.com/office/drawing/2014/main" id="{00000000-0008-0000-0100-00007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69" name="AutoShape 84">
          <a:extLst>
            <a:ext uri="{FF2B5EF4-FFF2-40B4-BE49-F238E27FC236}">
              <a16:creationId xmlns:a16="http://schemas.microsoft.com/office/drawing/2014/main" id="{00000000-0008-0000-0100-00007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0" name="AutoShape 157">
          <a:extLst>
            <a:ext uri="{FF2B5EF4-FFF2-40B4-BE49-F238E27FC236}">
              <a16:creationId xmlns:a16="http://schemas.microsoft.com/office/drawing/2014/main" id="{00000000-0008-0000-0100-00007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1" name="AutoShape 158">
          <a:extLst>
            <a:ext uri="{FF2B5EF4-FFF2-40B4-BE49-F238E27FC236}">
              <a16:creationId xmlns:a16="http://schemas.microsoft.com/office/drawing/2014/main" id="{00000000-0008-0000-0100-000073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2" name="AutoShape 124">
          <a:extLst>
            <a:ext uri="{FF2B5EF4-FFF2-40B4-BE49-F238E27FC236}">
              <a16:creationId xmlns:a16="http://schemas.microsoft.com/office/drawing/2014/main" id="{00000000-0008-0000-0100-000074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73" name="AutoShape 80">
          <a:extLst>
            <a:ext uri="{FF2B5EF4-FFF2-40B4-BE49-F238E27FC236}">
              <a16:creationId xmlns:a16="http://schemas.microsoft.com/office/drawing/2014/main" id="{00000000-0008-0000-0100-000075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4" name="AutoShape 84">
          <a:extLst>
            <a:ext uri="{FF2B5EF4-FFF2-40B4-BE49-F238E27FC236}">
              <a16:creationId xmlns:a16="http://schemas.microsoft.com/office/drawing/2014/main" id="{00000000-0008-0000-0100-000076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5" name="AutoShape 157">
          <a:extLst>
            <a:ext uri="{FF2B5EF4-FFF2-40B4-BE49-F238E27FC236}">
              <a16:creationId xmlns:a16="http://schemas.microsoft.com/office/drawing/2014/main" id="{00000000-0008-0000-0100-000077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6" name="AutoShape 158">
          <a:extLst>
            <a:ext uri="{FF2B5EF4-FFF2-40B4-BE49-F238E27FC236}">
              <a16:creationId xmlns:a16="http://schemas.microsoft.com/office/drawing/2014/main" id="{00000000-0008-0000-0100-000078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7" name="AutoShape 249">
          <a:extLst>
            <a:ext uri="{FF2B5EF4-FFF2-40B4-BE49-F238E27FC236}">
              <a16:creationId xmlns:a16="http://schemas.microsoft.com/office/drawing/2014/main" id="{00000000-0008-0000-0100-000079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8" name="AutoShape 184">
          <a:extLst>
            <a:ext uri="{FF2B5EF4-FFF2-40B4-BE49-F238E27FC236}">
              <a16:creationId xmlns:a16="http://schemas.microsoft.com/office/drawing/2014/main" id="{00000000-0008-0000-0100-00007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79" name="AutoShape 185">
          <a:extLst>
            <a:ext uri="{FF2B5EF4-FFF2-40B4-BE49-F238E27FC236}">
              <a16:creationId xmlns:a16="http://schemas.microsoft.com/office/drawing/2014/main" id="{00000000-0008-0000-0100-00007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0" name="AutoShape 186">
          <a:extLst>
            <a:ext uri="{FF2B5EF4-FFF2-40B4-BE49-F238E27FC236}">
              <a16:creationId xmlns:a16="http://schemas.microsoft.com/office/drawing/2014/main" id="{00000000-0008-0000-0100-00007C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1" name="AutoShape 187">
          <a:extLst>
            <a:ext uri="{FF2B5EF4-FFF2-40B4-BE49-F238E27FC236}">
              <a16:creationId xmlns:a16="http://schemas.microsoft.com/office/drawing/2014/main" id="{00000000-0008-0000-0100-00007D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2" name="AutoShape 80">
          <a:extLst>
            <a:ext uri="{FF2B5EF4-FFF2-40B4-BE49-F238E27FC236}">
              <a16:creationId xmlns:a16="http://schemas.microsoft.com/office/drawing/2014/main" id="{00000000-0008-0000-0100-00007E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3" name="AutoShape 84">
          <a:extLst>
            <a:ext uri="{FF2B5EF4-FFF2-40B4-BE49-F238E27FC236}">
              <a16:creationId xmlns:a16="http://schemas.microsoft.com/office/drawing/2014/main" id="{00000000-0008-0000-0100-00007F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4" name="AutoShape 157">
          <a:extLst>
            <a:ext uri="{FF2B5EF4-FFF2-40B4-BE49-F238E27FC236}">
              <a16:creationId xmlns:a16="http://schemas.microsoft.com/office/drawing/2014/main" id="{00000000-0008-0000-0100-000080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5" name="AutoShape 158">
          <a:extLst>
            <a:ext uri="{FF2B5EF4-FFF2-40B4-BE49-F238E27FC236}">
              <a16:creationId xmlns:a16="http://schemas.microsoft.com/office/drawing/2014/main" id="{00000000-0008-0000-0100-000081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6" name="AutoShape 124">
          <a:extLst>
            <a:ext uri="{FF2B5EF4-FFF2-40B4-BE49-F238E27FC236}">
              <a16:creationId xmlns:a16="http://schemas.microsoft.com/office/drawing/2014/main" id="{00000000-0008-0000-0100-000082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20</xdr:col>
      <xdr:colOff>0</xdr:colOff>
      <xdr:row>159</xdr:row>
      <xdr:rowOff>0</xdr:rowOff>
    </xdr:to>
    <xdr:sp macro="" textlink="">
      <xdr:nvSpPr>
        <xdr:cNvPr id="6787" name="AutoShape 80">
          <a:extLst>
            <a:ext uri="{FF2B5EF4-FFF2-40B4-BE49-F238E27FC236}">
              <a16:creationId xmlns:a16="http://schemas.microsoft.com/office/drawing/2014/main" id="{00000000-0008-0000-0100-000083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1094317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8" name="AutoShape 84">
          <a:extLst>
            <a:ext uri="{FF2B5EF4-FFF2-40B4-BE49-F238E27FC236}">
              <a16:creationId xmlns:a16="http://schemas.microsoft.com/office/drawing/2014/main" id="{00000000-0008-0000-0100-000084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89" name="AutoShape 157">
          <a:extLst>
            <a:ext uri="{FF2B5EF4-FFF2-40B4-BE49-F238E27FC236}">
              <a16:creationId xmlns:a16="http://schemas.microsoft.com/office/drawing/2014/main" id="{00000000-0008-0000-0100-000085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0" name="AutoShape 158">
          <a:extLst>
            <a:ext uri="{FF2B5EF4-FFF2-40B4-BE49-F238E27FC236}">
              <a16:creationId xmlns:a16="http://schemas.microsoft.com/office/drawing/2014/main" id="{00000000-0008-0000-0100-000086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1" name="AutoShape 249">
          <a:extLst>
            <a:ext uri="{FF2B5EF4-FFF2-40B4-BE49-F238E27FC236}">
              <a16:creationId xmlns:a16="http://schemas.microsoft.com/office/drawing/2014/main" id="{00000000-0008-0000-0100-000087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2" name="AutoShape 184">
          <a:extLst>
            <a:ext uri="{FF2B5EF4-FFF2-40B4-BE49-F238E27FC236}">
              <a16:creationId xmlns:a16="http://schemas.microsoft.com/office/drawing/2014/main" id="{00000000-0008-0000-0100-000088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3" name="AutoShape 185">
          <a:extLst>
            <a:ext uri="{FF2B5EF4-FFF2-40B4-BE49-F238E27FC236}">
              <a16:creationId xmlns:a16="http://schemas.microsoft.com/office/drawing/2014/main" id="{00000000-0008-0000-0100-000089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228600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4" name="AutoShape 186">
          <a:extLst>
            <a:ext uri="{FF2B5EF4-FFF2-40B4-BE49-F238E27FC236}">
              <a16:creationId xmlns:a16="http://schemas.microsoft.com/office/drawing/2014/main" id="{00000000-0008-0000-0100-00008A1A0000}"/>
            </a:ext>
          </a:extLst>
        </xdr:cNvPr>
        <xdr:cNvSpPr>
          <a:spLocks noChangeArrowheads="1"/>
        </xdr:cNvSpPr>
      </xdr:nvSpPr>
      <xdr:spPr>
        <a:xfrm>
          <a:off x="8970433" y="32797750"/>
          <a:ext cx="26670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209550</xdr:colOff>
      <xdr:row>159</xdr:row>
      <xdr:rowOff>0</xdr:rowOff>
    </xdr:from>
    <xdr:to>
      <xdr:col>19</xdr:col>
      <xdr:colOff>495300</xdr:colOff>
      <xdr:row>159</xdr:row>
      <xdr:rowOff>0</xdr:rowOff>
    </xdr:to>
    <xdr:sp macro="" textlink="">
      <xdr:nvSpPr>
        <xdr:cNvPr id="6795" name="AutoShape 187">
          <a:extLst>
            <a:ext uri="{FF2B5EF4-FFF2-40B4-BE49-F238E27FC236}">
              <a16:creationId xmlns:a16="http://schemas.microsoft.com/office/drawing/2014/main" id="{00000000-0008-0000-0100-00008B1A0000}"/>
            </a:ext>
          </a:extLst>
        </xdr:cNvPr>
        <xdr:cNvSpPr>
          <a:spLocks noChangeArrowheads="1"/>
        </xdr:cNvSpPr>
      </xdr:nvSpPr>
      <xdr:spPr>
        <a:xfrm>
          <a:off x="8951383" y="32797750"/>
          <a:ext cx="285750" cy="0"/>
        </a:xfrm>
        <a:prstGeom prst="upDownArrow">
          <a:avLst>
            <a:gd name="adj1" fmla="val 50000"/>
            <a:gd name="adj2" fmla="val -2147483648"/>
          </a:avLst>
        </a:prstGeom>
        <a:solidFill>
          <a:srgbClr val="FF00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134471</xdr:colOff>
      <xdr:row>18</xdr:row>
      <xdr:rowOff>98611</xdr:rowOff>
    </xdr:from>
    <xdr:to>
      <xdr:col>27</xdr:col>
      <xdr:colOff>235323</xdr:colOff>
      <xdr:row>22</xdr:row>
      <xdr:rowOff>144224</xdr:rowOff>
    </xdr:to>
    <xdr:grpSp>
      <xdr:nvGrpSpPr>
        <xdr:cNvPr id="6928" name="Group 6927">
          <a:extLst>
            <a:ext uri="{FF2B5EF4-FFF2-40B4-BE49-F238E27FC236}">
              <a16:creationId xmlns:a16="http://schemas.microsoft.com/office/drawing/2014/main" id="{00000000-0008-0000-0100-0000101B0000}"/>
            </a:ext>
          </a:extLst>
        </xdr:cNvPr>
        <xdr:cNvGrpSpPr/>
      </xdr:nvGrpSpPr>
      <xdr:grpSpPr>
        <a:xfrm>
          <a:off x="17929412" y="3675529"/>
          <a:ext cx="728382" cy="726930"/>
          <a:chOff x="11373971" y="7160558"/>
          <a:chExt cx="705971" cy="698915"/>
        </a:xfrm>
      </xdr:grpSpPr>
      <xdr:sp macro="" textlink="">
        <xdr:nvSpPr>
          <xdr:cNvPr id="6941" name="Block Arc 6940">
            <a:extLst>
              <a:ext uri="{FF2B5EF4-FFF2-40B4-BE49-F238E27FC236}">
                <a16:creationId xmlns:a16="http://schemas.microsoft.com/office/drawing/2014/main" id="{00000000-0008-0000-0100-00001D1B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942" name="Rectangle 6941">
            <a:extLst>
              <a:ext uri="{FF2B5EF4-FFF2-40B4-BE49-F238E27FC236}">
                <a16:creationId xmlns:a16="http://schemas.microsoft.com/office/drawing/2014/main" id="{00000000-0008-0000-0100-00001E1B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>
                <a:solidFill>
                  <a:schemeClr val="tx1"/>
                </a:solidFill>
              </a:rPr>
              <a:t>HELPING TABLE</a:t>
            </a:r>
          </a:p>
        </xdr:txBody>
      </xdr:sp>
      <xdr:sp macro="" textlink="">
        <xdr:nvSpPr>
          <xdr:cNvPr id="6943" name="Flowchart: Connector 6942">
            <a:extLst>
              <a:ext uri="{FF2B5EF4-FFF2-40B4-BE49-F238E27FC236}">
                <a16:creationId xmlns:a16="http://schemas.microsoft.com/office/drawing/2014/main" id="{00000000-0008-0000-0100-00001F1B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228599</xdr:colOff>
      <xdr:row>54</xdr:row>
      <xdr:rowOff>143435</xdr:rowOff>
    </xdr:from>
    <xdr:to>
      <xdr:col>11</xdr:col>
      <xdr:colOff>85490</xdr:colOff>
      <xdr:row>61</xdr:row>
      <xdr:rowOff>15188</xdr:rowOff>
    </xdr:to>
    <xdr:grpSp>
      <xdr:nvGrpSpPr>
        <xdr:cNvPr id="7103" name="Group 7102">
          <a:extLst>
            <a:ext uri="{FF2B5EF4-FFF2-40B4-BE49-F238E27FC236}">
              <a16:creationId xmlns:a16="http://schemas.microsoft.com/office/drawing/2014/main" id="{00000000-0008-0000-0100-0000BF1B0000}"/>
            </a:ext>
          </a:extLst>
        </xdr:cNvPr>
        <xdr:cNvGrpSpPr/>
      </xdr:nvGrpSpPr>
      <xdr:grpSpPr>
        <a:xfrm>
          <a:off x="6996952" y="9852211"/>
          <a:ext cx="1013338" cy="1064059"/>
          <a:chOff x="12609738" y="4857750"/>
          <a:chExt cx="997405" cy="1224643"/>
        </a:xfrm>
      </xdr:grpSpPr>
      <xdr:grpSp>
        <xdr:nvGrpSpPr>
          <xdr:cNvPr id="7104" name="Group 7103">
            <a:extLst>
              <a:ext uri="{FF2B5EF4-FFF2-40B4-BE49-F238E27FC236}">
                <a16:creationId xmlns:a16="http://schemas.microsoft.com/office/drawing/2014/main" id="{00000000-0008-0000-0100-0000C01B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06" name="Rectangle 7105">
              <a:extLst>
                <a:ext uri="{FF2B5EF4-FFF2-40B4-BE49-F238E27FC236}">
                  <a16:creationId xmlns:a16="http://schemas.microsoft.com/office/drawing/2014/main" id="{00000000-0008-0000-0100-0000C21B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107" name="Rectangle 7106">
              <a:extLst>
                <a:ext uri="{FF2B5EF4-FFF2-40B4-BE49-F238E27FC236}">
                  <a16:creationId xmlns:a16="http://schemas.microsoft.com/office/drawing/2014/main" id="{00000000-0008-0000-0100-0000C31B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108" name="Block Arc 7107">
              <a:extLst>
                <a:ext uri="{FF2B5EF4-FFF2-40B4-BE49-F238E27FC236}">
                  <a16:creationId xmlns:a16="http://schemas.microsoft.com/office/drawing/2014/main" id="{00000000-0008-0000-0100-0000C41B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09" name="Flowchart: Connector 7108">
              <a:extLst>
                <a:ext uri="{FF2B5EF4-FFF2-40B4-BE49-F238E27FC236}">
                  <a16:creationId xmlns:a16="http://schemas.microsoft.com/office/drawing/2014/main" id="{00000000-0008-0000-0100-0000C51B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05" name="Arrow: Up-Down 33">
            <a:extLst>
              <a:ext uri="{FF2B5EF4-FFF2-40B4-BE49-F238E27FC236}">
                <a16:creationId xmlns:a16="http://schemas.microsoft.com/office/drawing/2014/main" id="{00000000-0008-0000-0100-0000C11B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80402</xdr:colOff>
      <xdr:row>56</xdr:row>
      <xdr:rowOff>87406</xdr:rowOff>
    </xdr:from>
    <xdr:to>
      <xdr:col>14</xdr:col>
      <xdr:colOff>63749</xdr:colOff>
      <xdr:row>61</xdr:row>
      <xdr:rowOff>69974</xdr:rowOff>
    </xdr:to>
    <xdr:grpSp>
      <xdr:nvGrpSpPr>
        <xdr:cNvPr id="7114" name="Group 7113">
          <a:extLst>
            <a:ext uri="{FF2B5EF4-FFF2-40B4-BE49-F238E27FC236}">
              <a16:creationId xmlns:a16="http://schemas.microsoft.com/office/drawing/2014/main" id="{00000000-0008-0000-0100-0000CA1B0000}"/>
            </a:ext>
          </a:extLst>
        </xdr:cNvPr>
        <xdr:cNvGrpSpPr/>
      </xdr:nvGrpSpPr>
      <xdr:grpSpPr>
        <a:xfrm>
          <a:off x="8390684" y="10136841"/>
          <a:ext cx="754312" cy="834215"/>
          <a:chOff x="639533" y="1809018"/>
          <a:chExt cx="688522" cy="686532"/>
        </a:xfrm>
      </xdr:grpSpPr>
      <xdr:sp macro="" textlink="">
        <xdr:nvSpPr>
          <xdr:cNvPr id="7115" name="Rectangle 7114">
            <a:extLst>
              <a:ext uri="{FF2B5EF4-FFF2-40B4-BE49-F238E27FC236}">
                <a16:creationId xmlns:a16="http://schemas.microsoft.com/office/drawing/2014/main" id="{00000000-0008-0000-0100-0000CB1B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SNEC</a:t>
            </a:r>
          </a:p>
        </xdr:txBody>
      </xdr:sp>
      <xdr:sp macro="" textlink="">
        <xdr:nvSpPr>
          <xdr:cNvPr id="7116" name="Block Arc 7115">
            <a:extLst>
              <a:ext uri="{FF2B5EF4-FFF2-40B4-BE49-F238E27FC236}">
                <a16:creationId xmlns:a16="http://schemas.microsoft.com/office/drawing/2014/main" id="{00000000-0008-0000-0100-0000CC1B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17" name="Flowchart: Connector 7116">
            <a:extLst>
              <a:ext uri="{FF2B5EF4-FFF2-40B4-BE49-F238E27FC236}">
                <a16:creationId xmlns:a16="http://schemas.microsoft.com/office/drawing/2014/main" id="{00000000-0008-0000-0100-0000CD1B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219636</xdr:colOff>
      <xdr:row>17</xdr:row>
      <xdr:rowOff>107577</xdr:rowOff>
    </xdr:from>
    <xdr:to>
      <xdr:col>10</xdr:col>
      <xdr:colOff>163606</xdr:colOff>
      <xdr:row>21</xdr:row>
      <xdr:rowOff>134140</xdr:rowOff>
    </xdr:to>
    <xdr:grpSp>
      <xdr:nvGrpSpPr>
        <xdr:cNvPr id="7125" name="Group 7124">
          <a:extLst>
            <a:ext uri="{FF2B5EF4-FFF2-40B4-BE49-F238E27FC236}">
              <a16:creationId xmlns:a16="http://schemas.microsoft.com/office/drawing/2014/main" id="{00000000-0008-0000-0100-0000D51B0000}"/>
            </a:ext>
          </a:extLst>
        </xdr:cNvPr>
        <xdr:cNvGrpSpPr/>
      </xdr:nvGrpSpPr>
      <xdr:grpSpPr>
        <a:xfrm>
          <a:off x="6987989" y="3514165"/>
          <a:ext cx="714935" cy="707881"/>
          <a:chOff x="11373971" y="7160558"/>
          <a:chExt cx="705971" cy="698915"/>
        </a:xfrm>
      </xdr:grpSpPr>
      <xdr:sp macro="" textlink="">
        <xdr:nvSpPr>
          <xdr:cNvPr id="7126" name="Block Arc 7125">
            <a:extLst>
              <a:ext uri="{FF2B5EF4-FFF2-40B4-BE49-F238E27FC236}">
                <a16:creationId xmlns:a16="http://schemas.microsoft.com/office/drawing/2014/main" id="{00000000-0008-0000-0100-0000D61B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27" name="Rectangle 7126">
            <a:extLst>
              <a:ext uri="{FF2B5EF4-FFF2-40B4-BE49-F238E27FC236}">
                <a16:creationId xmlns:a16="http://schemas.microsoft.com/office/drawing/2014/main" id="{00000000-0008-0000-0100-0000D71B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SS</a:t>
            </a:r>
          </a:p>
        </xdr:txBody>
      </xdr:sp>
      <xdr:sp macro="" textlink="">
        <xdr:nvSpPr>
          <xdr:cNvPr id="7128" name="Flowchart: Connector 7127">
            <a:extLst>
              <a:ext uri="{FF2B5EF4-FFF2-40B4-BE49-F238E27FC236}">
                <a16:creationId xmlns:a16="http://schemas.microsoft.com/office/drawing/2014/main" id="{00000000-0008-0000-0100-0000D81B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230842</xdr:colOff>
      <xdr:row>22</xdr:row>
      <xdr:rowOff>17930</xdr:rowOff>
    </xdr:from>
    <xdr:to>
      <xdr:col>10</xdr:col>
      <xdr:colOff>174812</xdr:colOff>
      <xdr:row>26</xdr:row>
      <xdr:rowOff>44492</xdr:rowOff>
    </xdr:to>
    <xdr:grpSp>
      <xdr:nvGrpSpPr>
        <xdr:cNvPr id="7129" name="Group 7128">
          <a:extLst>
            <a:ext uri="{FF2B5EF4-FFF2-40B4-BE49-F238E27FC236}">
              <a16:creationId xmlns:a16="http://schemas.microsoft.com/office/drawing/2014/main" id="{00000000-0008-0000-0100-0000D91B0000}"/>
            </a:ext>
          </a:extLst>
        </xdr:cNvPr>
        <xdr:cNvGrpSpPr/>
      </xdr:nvGrpSpPr>
      <xdr:grpSpPr>
        <a:xfrm>
          <a:off x="6999195" y="4276165"/>
          <a:ext cx="714935" cy="707880"/>
          <a:chOff x="11373971" y="7160558"/>
          <a:chExt cx="705971" cy="698915"/>
        </a:xfrm>
      </xdr:grpSpPr>
      <xdr:sp macro="" textlink="">
        <xdr:nvSpPr>
          <xdr:cNvPr id="7130" name="Block Arc 7129">
            <a:extLst>
              <a:ext uri="{FF2B5EF4-FFF2-40B4-BE49-F238E27FC236}">
                <a16:creationId xmlns:a16="http://schemas.microsoft.com/office/drawing/2014/main" id="{00000000-0008-0000-0100-0000DA1B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31" name="Rectangle 7130">
            <a:extLst>
              <a:ext uri="{FF2B5EF4-FFF2-40B4-BE49-F238E27FC236}">
                <a16:creationId xmlns:a16="http://schemas.microsoft.com/office/drawing/2014/main" id="{00000000-0008-0000-0100-0000DB1B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SS</a:t>
            </a:r>
          </a:p>
        </xdr:txBody>
      </xdr:sp>
      <xdr:sp macro="" textlink="">
        <xdr:nvSpPr>
          <xdr:cNvPr id="7132" name="Flowchart: Connector 7131">
            <a:extLst>
              <a:ext uri="{FF2B5EF4-FFF2-40B4-BE49-F238E27FC236}">
                <a16:creationId xmlns:a16="http://schemas.microsoft.com/office/drawing/2014/main" id="{00000000-0008-0000-0100-0000DC1B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145395</xdr:colOff>
      <xdr:row>16</xdr:row>
      <xdr:rowOff>118782</xdr:rowOff>
    </xdr:from>
    <xdr:to>
      <xdr:col>14</xdr:col>
      <xdr:colOff>128742</xdr:colOff>
      <xdr:row>21</xdr:row>
      <xdr:rowOff>101350</xdr:rowOff>
    </xdr:to>
    <xdr:grpSp>
      <xdr:nvGrpSpPr>
        <xdr:cNvPr id="7133" name="Group 7132">
          <a:extLst>
            <a:ext uri="{FF2B5EF4-FFF2-40B4-BE49-F238E27FC236}">
              <a16:creationId xmlns:a16="http://schemas.microsoft.com/office/drawing/2014/main" id="{00000000-0008-0000-0100-0000DD1B0000}"/>
            </a:ext>
          </a:extLst>
        </xdr:cNvPr>
        <xdr:cNvGrpSpPr/>
      </xdr:nvGrpSpPr>
      <xdr:grpSpPr>
        <a:xfrm>
          <a:off x="8455677" y="3355041"/>
          <a:ext cx="754312" cy="834215"/>
          <a:chOff x="639533" y="1809018"/>
          <a:chExt cx="688522" cy="686532"/>
        </a:xfrm>
      </xdr:grpSpPr>
      <xdr:sp macro="" textlink="">
        <xdr:nvSpPr>
          <xdr:cNvPr id="7134" name="Rectangle 7133">
            <a:extLst>
              <a:ext uri="{FF2B5EF4-FFF2-40B4-BE49-F238E27FC236}">
                <a16:creationId xmlns:a16="http://schemas.microsoft.com/office/drawing/2014/main" id="{00000000-0008-0000-0100-0000DE1B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</a:t>
            </a:r>
          </a:p>
        </xdr:txBody>
      </xdr:sp>
      <xdr:sp macro="" textlink="">
        <xdr:nvSpPr>
          <xdr:cNvPr id="7135" name="Block Arc 7134">
            <a:extLst>
              <a:ext uri="{FF2B5EF4-FFF2-40B4-BE49-F238E27FC236}">
                <a16:creationId xmlns:a16="http://schemas.microsoft.com/office/drawing/2014/main" id="{00000000-0008-0000-0100-0000DF1B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36" name="Flowchart: Connector 7135">
            <a:extLst>
              <a:ext uri="{FF2B5EF4-FFF2-40B4-BE49-F238E27FC236}">
                <a16:creationId xmlns:a16="http://schemas.microsoft.com/office/drawing/2014/main" id="{00000000-0008-0000-0100-0000E01B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140913</xdr:colOff>
      <xdr:row>22</xdr:row>
      <xdr:rowOff>2240</xdr:rowOff>
    </xdr:from>
    <xdr:to>
      <xdr:col>14</xdr:col>
      <xdr:colOff>124260</xdr:colOff>
      <xdr:row>26</xdr:row>
      <xdr:rowOff>152896</xdr:rowOff>
    </xdr:to>
    <xdr:grpSp>
      <xdr:nvGrpSpPr>
        <xdr:cNvPr id="7137" name="Group 7136">
          <a:extLst>
            <a:ext uri="{FF2B5EF4-FFF2-40B4-BE49-F238E27FC236}">
              <a16:creationId xmlns:a16="http://schemas.microsoft.com/office/drawing/2014/main" id="{00000000-0008-0000-0100-0000E11B0000}"/>
            </a:ext>
          </a:extLst>
        </xdr:cNvPr>
        <xdr:cNvGrpSpPr/>
      </xdr:nvGrpSpPr>
      <xdr:grpSpPr>
        <a:xfrm>
          <a:off x="8451195" y="4260475"/>
          <a:ext cx="754312" cy="831974"/>
          <a:chOff x="639533" y="1809018"/>
          <a:chExt cx="688522" cy="686532"/>
        </a:xfrm>
      </xdr:grpSpPr>
      <xdr:sp macro="" textlink="">
        <xdr:nvSpPr>
          <xdr:cNvPr id="7138" name="Rectangle 7137">
            <a:extLst>
              <a:ext uri="{FF2B5EF4-FFF2-40B4-BE49-F238E27FC236}">
                <a16:creationId xmlns:a16="http://schemas.microsoft.com/office/drawing/2014/main" id="{00000000-0008-0000-0100-0000E21B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SNEC</a:t>
            </a:r>
          </a:p>
        </xdr:txBody>
      </xdr:sp>
      <xdr:sp macro="" textlink="">
        <xdr:nvSpPr>
          <xdr:cNvPr id="7139" name="Block Arc 7138">
            <a:extLst>
              <a:ext uri="{FF2B5EF4-FFF2-40B4-BE49-F238E27FC236}">
                <a16:creationId xmlns:a16="http://schemas.microsoft.com/office/drawing/2014/main" id="{00000000-0008-0000-0100-0000E31B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40" name="Flowchart: Connector 7139">
            <a:extLst>
              <a:ext uri="{FF2B5EF4-FFF2-40B4-BE49-F238E27FC236}">
                <a16:creationId xmlns:a16="http://schemas.microsoft.com/office/drawing/2014/main" id="{00000000-0008-0000-0100-0000E41B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356347</xdr:colOff>
      <xdr:row>27</xdr:row>
      <xdr:rowOff>8964</xdr:rowOff>
    </xdr:from>
    <xdr:to>
      <xdr:col>14</xdr:col>
      <xdr:colOff>213238</xdr:colOff>
      <xdr:row>34</xdr:row>
      <xdr:rowOff>37600</xdr:rowOff>
    </xdr:to>
    <xdr:grpSp>
      <xdr:nvGrpSpPr>
        <xdr:cNvPr id="7141" name="Group 7140">
          <a:extLst>
            <a:ext uri="{FF2B5EF4-FFF2-40B4-BE49-F238E27FC236}">
              <a16:creationId xmlns:a16="http://schemas.microsoft.com/office/drawing/2014/main" id="{00000000-0008-0000-0100-0000E51B0000}"/>
            </a:ext>
          </a:extLst>
        </xdr:cNvPr>
        <xdr:cNvGrpSpPr/>
      </xdr:nvGrpSpPr>
      <xdr:grpSpPr>
        <a:xfrm>
          <a:off x="8281147" y="5118846"/>
          <a:ext cx="967618" cy="1220942"/>
          <a:chOff x="12609738" y="4857750"/>
          <a:chExt cx="997405" cy="1224643"/>
        </a:xfrm>
      </xdr:grpSpPr>
      <xdr:grpSp>
        <xdr:nvGrpSpPr>
          <xdr:cNvPr id="7142" name="Group 7141">
            <a:extLst>
              <a:ext uri="{FF2B5EF4-FFF2-40B4-BE49-F238E27FC236}">
                <a16:creationId xmlns:a16="http://schemas.microsoft.com/office/drawing/2014/main" id="{00000000-0008-0000-0100-0000E61B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44" name="Rectangle 7143">
              <a:extLst>
                <a:ext uri="{FF2B5EF4-FFF2-40B4-BE49-F238E27FC236}">
                  <a16:creationId xmlns:a16="http://schemas.microsoft.com/office/drawing/2014/main" id="{00000000-0008-0000-0100-0000E81B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45" name="Rectangle 7144">
              <a:extLst>
                <a:ext uri="{FF2B5EF4-FFF2-40B4-BE49-F238E27FC236}">
                  <a16:creationId xmlns:a16="http://schemas.microsoft.com/office/drawing/2014/main" id="{00000000-0008-0000-0100-0000E91B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46" name="Block Arc 7145">
              <a:extLst>
                <a:ext uri="{FF2B5EF4-FFF2-40B4-BE49-F238E27FC236}">
                  <a16:creationId xmlns:a16="http://schemas.microsoft.com/office/drawing/2014/main" id="{00000000-0008-0000-0100-0000EA1B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47" name="Flowchart: Connector 7146">
              <a:extLst>
                <a:ext uri="{FF2B5EF4-FFF2-40B4-BE49-F238E27FC236}">
                  <a16:creationId xmlns:a16="http://schemas.microsoft.com/office/drawing/2014/main" id="{00000000-0008-0000-0100-0000EB1B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43" name="Arrow: Up-Down 33">
            <a:extLst>
              <a:ext uri="{FF2B5EF4-FFF2-40B4-BE49-F238E27FC236}">
                <a16:creationId xmlns:a16="http://schemas.microsoft.com/office/drawing/2014/main" id="{00000000-0008-0000-0100-0000E71B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136712</xdr:colOff>
      <xdr:row>144</xdr:row>
      <xdr:rowOff>47065</xdr:rowOff>
    </xdr:from>
    <xdr:to>
      <xdr:col>14</xdr:col>
      <xdr:colOff>154679</xdr:colOff>
      <xdr:row>153</xdr:row>
      <xdr:rowOff>154284</xdr:rowOff>
    </xdr:to>
    <xdr:grpSp>
      <xdr:nvGrpSpPr>
        <xdr:cNvPr id="7148" name="Group 7147">
          <a:extLst>
            <a:ext uri="{FF2B5EF4-FFF2-40B4-BE49-F238E27FC236}">
              <a16:creationId xmlns:a16="http://schemas.microsoft.com/office/drawing/2014/main" id="{00000000-0008-0000-0100-0000EC1B0000}"/>
            </a:ext>
          </a:extLst>
        </xdr:cNvPr>
        <xdr:cNvGrpSpPr/>
      </xdr:nvGrpSpPr>
      <xdr:grpSpPr>
        <a:xfrm rot="10800000">
          <a:off x="8446994" y="25085489"/>
          <a:ext cx="788932" cy="1640183"/>
          <a:chOff x="11340352" y="3906729"/>
          <a:chExt cx="766520" cy="1606565"/>
        </a:xfrm>
      </xdr:grpSpPr>
      <xdr:sp macro="" textlink="">
        <xdr:nvSpPr>
          <xdr:cNvPr id="7149" name="Block Arc 7148">
            <a:extLst>
              <a:ext uri="{FF2B5EF4-FFF2-40B4-BE49-F238E27FC236}">
                <a16:creationId xmlns:a16="http://schemas.microsoft.com/office/drawing/2014/main" id="{00000000-0008-0000-0100-0000ED1B0000}"/>
              </a:ext>
            </a:extLst>
          </xdr:cNvPr>
          <xdr:cNvSpPr/>
        </xdr:nvSpPr>
        <xdr:spPr>
          <a:xfrm rot="5400000">
            <a:off x="11320200" y="4323210"/>
            <a:ext cx="806823" cy="766520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pSp>
        <xdr:nvGrpSpPr>
          <xdr:cNvPr id="7150" name="Group 7149">
            <a:extLst>
              <a:ext uri="{FF2B5EF4-FFF2-40B4-BE49-F238E27FC236}">
                <a16:creationId xmlns:a16="http://schemas.microsoft.com/office/drawing/2014/main" id="{00000000-0008-0000-0100-0000EE1B0000}"/>
              </a:ext>
            </a:extLst>
          </xdr:cNvPr>
          <xdr:cNvGrpSpPr/>
        </xdr:nvGrpSpPr>
        <xdr:grpSpPr>
          <a:xfrm>
            <a:off x="11366896" y="3906729"/>
            <a:ext cx="723017" cy="1606565"/>
            <a:chOff x="10763249" y="993949"/>
            <a:chExt cx="688523" cy="1377044"/>
          </a:xfrm>
        </xdr:grpSpPr>
        <xdr:sp macro="" textlink="">
          <xdr:nvSpPr>
            <xdr:cNvPr id="7151" name="Flowchart: Connector 7150">
              <a:extLst>
                <a:ext uri="{FF2B5EF4-FFF2-40B4-BE49-F238E27FC236}">
                  <a16:creationId xmlns:a16="http://schemas.microsoft.com/office/drawing/2014/main" id="{00000000-0008-0000-0100-0000EF1B0000}"/>
                </a:ext>
              </a:extLst>
            </xdr:cNvPr>
            <xdr:cNvSpPr/>
          </xdr:nvSpPr>
          <xdr:spPr>
            <a:xfrm>
              <a:off x="11113520" y="1502607"/>
              <a:ext cx="318091" cy="304014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52" name="Rectangle 7151">
              <a:extLst>
                <a:ext uri="{FF2B5EF4-FFF2-40B4-BE49-F238E27FC236}">
                  <a16:creationId xmlns:a16="http://schemas.microsoft.com/office/drawing/2014/main" id="{00000000-0008-0000-0100-0000F01B0000}"/>
                </a:ext>
              </a:extLst>
            </xdr:cNvPr>
            <xdr:cNvSpPr/>
          </xdr:nvSpPr>
          <xdr:spPr>
            <a:xfrm>
              <a:off x="10763249" y="2045857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NS</a:t>
              </a:r>
            </a:p>
          </xdr:txBody>
        </xdr:sp>
        <xdr:sp macro="" textlink="">
          <xdr:nvSpPr>
            <xdr:cNvPr id="7153" name="Rectangle 7152">
              <a:extLst>
                <a:ext uri="{FF2B5EF4-FFF2-40B4-BE49-F238E27FC236}">
                  <a16:creationId xmlns:a16="http://schemas.microsoft.com/office/drawing/2014/main" id="{00000000-0008-0000-0100-0000F11B0000}"/>
                </a:ext>
              </a:extLst>
            </xdr:cNvPr>
            <xdr:cNvSpPr/>
          </xdr:nvSpPr>
          <xdr:spPr>
            <a:xfrm rot="16200000">
              <a:off x="10591119" y="1519903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154" name="Rectangle 7153">
              <a:extLst>
                <a:ext uri="{FF2B5EF4-FFF2-40B4-BE49-F238E27FC236}">
                  <a16:creationId xmlns:a16="http://schemas.microsoft.com/office/drawing/2014/main" id="{00000000-0008-0000-0100-0000F21B0000}"/>
                </a:ext>
              </a:extLst>
            </xdr:cNvPr>
            <xdr:cNvSpPr/>
          </xdr:nvSpPr>
          <xdr:spPr>
            <a:xfrm>
              <a:off x="10763249" y="993949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</xdr:grpSp>
    </xdr:grpSp>
    <xdr:clientData/>
  </xdr:twoCellAnchor>
  <xdr:twoCellAnchor>
    <xdr:from>
      <xdr:col>8</xdr:col>
      <xdr:colOff>246530</xdr:colOff>
      <xdr:row>26</xdr:row>
      <xdr:rowOff>89647</xdr:rowOff>
    </xdr:from>
    <xdr:to>
      <xdr:col>10</xdr:col>
      <xdr:colOff>227853</xdr:colOff>
      <xdr:row>35</xdr:row>
      <xdr:rowOff>164901</xdr:rowOff>
    </xdr:to>
    <xdr:grpSp>
      <xdr:nvGrpSpPr>
        <xdr:cNvPr id="7155" name="Group 7154">
          <a:extLst>
            <a:ext uri="{FF2B5EF4-FFF2-40B4-BE49-F238E27FC236}">
              <a16:creationId xmlns:a16="http://schemas.microsoft.com/office/drawing/2014/main" id="{00000000-0008-0000-0100-0000F31B0000}"/>
            </a:ext>
          </a:extLst>
        </xdr:cNvPr>
        <xdr:cNvGrpSpPr/>
      </xdr:nvGrpSpPr>
      <xdr:grpSpPr>
        <a:xfrm>
          <a:off x="7014883" y="5029200"/>
          <a:ext cx="752288" cy="1608219"/>
          <a:chOff x="5999778" y="1078314"/>
          <a:chExt cx="696297" cy="1371601"/>
        </a:xfrm>
      </xdr:grpSpPr>
      <xdr:sp macro="" textlink="">
        <xdr:nvSpPr>
          <xdr:cNvPr id="7156" name="Block Arc 7155">
            <a:extLst>
              <a:ext uri="{FF2B5EF4-FFF2-40B4-BE49-F238E27FC236}">
                <a16:creationId xmlns:a16="http://schemas.microsoft.com/office/drawing/2014/main" id="{00000000-0008-0000-0100-0000F41B0000}"/>
              </a:ext>
            </a:extLst>
          </xdr:cNvPr>
          <xdr:cNvSpPr/>
        </xdr:nvSpPr>
        <xdr:spPr>
          <a:xfrm rot="16200000">
            <a:off x="5999778" y="1430738"/>
            <a:ext cx="666750" cy="666750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57" name="Flowchart: Connector 7156">
            <a:extLst>
              <a:ext uri="{FF2B5EF4-FFF2-40B4-BE49-F238E27FC236}">
                <a16:creationId xmlns:a16="http://schemas.microsoft.com/office/drawing/2014/main" id="{00000000-0008-0000-0100-0000F51B0000}"/>
              </a:ext>
            </a:extLst>
          </xdr:cNvPr>
          <xdr:cNvSpPr/>
        </xdr:nvSpPr>
        <xdr:spPr>
          <a:xfrm rot="10800000">
            <a:off x="6029324" y="1602188"/>
            <a:ext cx="316833" cy="302812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58" name="Rectangle 7157">
            <a:extLst>
              <a:ext uri="{FF2B5EF4-FFF2-40B4-BE49-F238E27FC236}">
                <a16:creationId xmlns:a16="http://schemas.microsoft.com/office/drawing/2014/main" id="{00000000-0008-0000-0100-0000F61B0000}"/>
              </a:ext>
            </a:extLst>
          </xdr:cNvPr>
          <xdr:cNvSpPr/>
        </xdr:nvSpPr>
        <xdr:spPr>
          <a:xfrm>
            <a:off x="6010274" y="1078314"/>
            <a:ext cx="685801" cy="323851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DN</a:t>
            </a:r>
          </a:p>
        </xdr:txBody>
      </xdr:sp>
      <xdr:sp macro="" textlink="">
        <xdr:nvSpPr>
          <xdr:cNvPr id="7159" name="Rectangle 7158">
            <a:extLst>
              <a:ext uri="{FF2B5EF4-FFF2-40B4-BE49-F238E27FC236}">
                <a16:creationId xmlns:a16="http://schemas.microsoft.com/office/drawing/2014/main" id="{00000000-0008-0000-0100-0000F71B0000}"/>
              </a:ext>
            </a:extLst>
          </xdr:cNvPr>
          <xdr:cNvSpPr/>
        </xdr:nvSpPr>
        <xdr:spPr>
          <a:xfrm rot="5400000">
            <a:off x="6181724" y="1602189"/>
            <a:ext cx="685801" cy="323851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SNEC</a:t>
            </a:r>
          </a:p>
        </xdr:txBody>
      </xdr:sp>
      <xdr:sp macro="" textlink="">
        <xdr:nvSpPr>
          <xdr:cNvPr id="7160" name="Rectangle 7159">
            <a:extLst>
              <a:ext uri="{FF2B5EF4-FFF2-40B4-BE49-F238E27FC236}">
                <a16:creationId xmlns:a16="http://schemas.microsoft.com/office/drawing/2014/main" id="{00000000-0008-0000-0100-0000F81B0000}"/>
              </a:ext>
            </a:extLst>
          </xdr:cNvPr>
          <xdr:cNvSpPr/>
        </xdr:nvSpPr>
        <xdr:spPr>
          <a:xfrm>
            <a:off x="6010274" y="2126064"/>
            <a:ext cx="685801" cy="323851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</a:t>
            </a:r>
          </a:p>
        </xdr:txBody>
      </xdr:sp>
    </xdr:grpSp>
    <xdr:clientData/>
  </xdr:twoCellAnchor>
  <xdr:twoCellAnchor>
    <xdr:from>
      <xdr:col>8</xdr:col>
      <xdr:colOff>138953</xdr:colOff>
      <xdr:row>36</xdr:row>
      <xdr:rowOff>38100</xdr:rowOff>
    </xdr:from>
    <xdr:to>
      <xdr:col>10</xdr:col>
      <xdr:colOff>376844</xdr:colOff>
      <xdr:row>43</xdr:row>
      <xdr:rowOff>66736</xdr:rowOff>
    </xdr:to>
    <xdr:grpSp>
      <xdr:nvGrpSpPr>
        <xdr:cNvPr id="7161" name="Group 7160">
          <a:extLst>
            <a:ext uri="{FF2B5EF4-FFF2-40B4-BE49-F238E27FC236}">
              <a16:creationId xmlns:a16="http://schemas.microsoft.com/office/drawing/2014/main" id="{00000000-0008-0000-0100-0000F91B0000}"/>
            </a:ext>
          </a:extLst>
        </xdr:cNvPr>
        <xdr:cNvGrpSpPr/>
      </xdr:nvGrpSpPr>
      <xdr:grpSpPr>
        <a:xfrm>
          <a:off x="6907306" y="6680947"/>
          <a:ext cx="1008856" cy="1220942"/>
          <a:chOff x="12609738" y="4857750"/>
          <a:chExt cx="997405" cy="1224643"/>
        </a:xfrm>
      </xdr:grpSpPr>
      <xdr:grpSp>
        <xdr:nvGrpSpPr>
          <xdr:cNvPr id="7162" name="Group 7161">
            <a:extLst>
              <a:ext uri="{FF2B5EF4-FFF2-40B4-BE49-F238E27FC236}">
                <a16:creationId xmlns:a16="http://schemas.microsoft.com/office/drawing/2014/main" id="{00000000-0008-0000-0100-0000FA1B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64" name="Rectangle 7163">
              <a:extLst>
                <a:ext uri="{FF2B5EF4-FFF2-40B4-BE49-F238E27FC236}">
                  <a16:creationId xmlns:a16="http://schemas.microsoft.com/office/drawing/2014/main" id="{00000000-0008-0000-0100-0000FC1B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165" name="Rectangle 7164">
              <a:extLst>
                <a:ext uri="{FF2B5EF4-FFF2-40B4-BE49-F238E27FC236}">
                  <a16:creationId xmlns:a16="http://schemas.microsoft.com/office/drawing/2014/main" id="{00000000-0008-0000-0100-0000FD1B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66" name="Block Arc 7165">
              <a:extLst>
                <a:ext uri="{FF2B5EF4-FFF2-40B4-BE49-F238E27FC236}">
                  <a16:creationId xmlns:a16="http://schemas.microsoft.com/office/drawing/2014/main" id="{00000000-0008-0000-0100-0000FE1B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67" name="Flowchart: Connector 7166">
              <a:extLst>
                <a:ext uri="{FF2B5EF4-FFF2-40B4-BE49-F238E27FC236}">
                  <a16:creationId xmlns:a16="http://schemas.microsoft.com/office/drawing/2014/main" id="{00000000-0008-0000-0100-0000FF1B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63" name="Arrow: Up-Down 33">
            <a:extLst>
              <a:ext uri="{FF2B5EF4-FFF2-40B4-BE49-F238E27FC236}">
                <a16:creationId xmlns:a16="http://schemas.microsoft.com/office/drawing/2014/main" id="{00000000-0008-0000-0100-0000FB1B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25</xdr:col>
      <xdr:colOff>541116</xdr:colOff>
      <xdr:row>10</xdr:row>
      <xdr:rowOff>100232</xdr:rowOff>
    </xdr:from>
    <xdr:to>
      <xdr:col>27</xdr:col>
      <xdr:colOff>308360</xdr:colOff>
      <xdr:row>17</xdr:row>
      <xdr:rowOff>41463</xdr:rowOff>
    </xdr:to>
    <xdr:grpSp>
      <xdr:nvGrpSpPr>
        <xdr:cNvPr id="7168" name="Group 7167">
          <a:extLst>
            <a:ext uri="{FF2B5EF4-FFF2-40B4-BE49-F238E27FC236}">
              <a16:creationId xmlns:a16="http://schemas.microsoft.com/office/drawing/2014/main" id="{00000000-0008-0000-0100-0000001C0000}"/>
            </a:ext>
          </a:extLst>
        </xdr:cNvPr>
        <xdr:cNvGrpSpPr/>
      </xdr:nvGrpSpPr>
      <xdr:grpSpPr>
        <a:xfrm>
          <a:off x="17708528" y="2287620"/>
          <a:ext cx="1022303" cy="1160431"/>
          <a:chOff x="12609738" y="4857750"/>
          <a:chExt cx="997405" cy="1224643"/>
        </a:xfrm>
      </xdr:grpSpPr>
      <xdr:grpSp>
        <xdr:nvGrpSpPr>
          <xdr:cNvPr id="7169" name="Group 7168">
            <a:extLst>
              <a:ext uri="{FF2B5EF4-FFF2-40B4-BE49-F238E27FC236}">
                <a16:creationId xmlns:a16="http://schemas.microsoft.com/office/drawing/2014/main" id="{00000000-0008-0000-0100-000001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71" name="Rectangle 7170">
              <a:extLs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172" name="Rectangle 7171">
              <a:extLs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73" name="Block Arc 7172">
              <a:extLst>
                <a:ext uri="{FF2B5EF4-FFF2-40B4-BE49-F238E27FC236}">
                  <a16:creationId xmlns:a16="http://schemas.microsoft.com/office/drawing/2014/main" id="{00000000-0008-0000-0100-000005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74" name="Flowchart: Connector 7173">
              <a:extLst>
                <a:ext uri="{FF2B5EF4-FFF2-40B4-BE49-F238E27FC236}">
                  <a16:creationId xmlns:a16="http://schemas.microsoft.com/office/drawing/2014/main" id="{00000000-0008-0000-0100-000006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70" name="Arrow: Up-Down 33">
            <a:extLst>
              <a:ext uri="{FF2B5EF4-FFF2-40B4-BE49-F238E27FC236}">
                <a16:creationId xmlns:a16="http://schemas.microsoft.com/office/drawing/2014/main" id="{00000000-0008-0000-0100-000002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78441</xdr:colOff>
      <xdr:row>34</xdr:row>
      <xdr:rowOff>112058</xdr:rowOff>
    </xdr:from>
    <xdr:to>
      <xdr:col>14</xdr:col>
      <xdr:colOff>316332</xdr:colOff>
      <xdr:row>41</xdr:row>
      <xdr:rowOff>140695</xdr:rowOff>
    </xdr:to>
    <xdr:grpSp>
      <xdr:nvGrpSpPr>
        <xdr:cNvPr id="7175" name="Group 7174">
          <a:extLst>
            <a:ext uri="{FF2B5EF4-FFF2-40B4-BE49-F238E27FC236}">
              <a16:creationId xmlns:a16="http://schemas.microsoft.com/office/drawing/2014/main" id="{00000000-0008-0000-0100-0000071C0000}"/>
            </a:ext>
          </a:extLst>
        </xdr:cNvPr>
        <xdr:cNvGrpSpPr/>
      </xdr:nvGrpSpPr>
      <xdr:grpSpPr>
        <a:xfrm>
          <a:off x="8388723" y="6414246"/>
          <a:ext cx="856456" cy="1220943"/>
          <a:chOff x="12609738" y="4857750"/>
          <a:chExt cx="997405" cy="1224643"/>
        </a:xfrm>
      </xdr:grpSpPr>
      <xdr:grpSp>
        <xdr:nvGrpSpPr>
          <xdr:cNvPr id="7176" name="Group 7175">
            <a:extLst>
              <a:ext uri="{FF2B5EF4-FFF2-40B4-BE49-F238E27FC236}">
                <a16:creationId xmlns:a16="http://schemas.microsoft.com/office/drawing/2014/main" id="{00000000-0008-0000-0100-000008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78" name="Rectangle 7177">
              <a:extLs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79" name="Rectangle 7178">
              <a:extLs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BTK</a:t>
              </a:r>
            </a:p>
          </xdr:txBody>
        </xdr:sp>
        <xdr:sp macro="" textlink="">
          <xdr:nvSpPr>
            <xdr:cNvPr id="7180" name="Block Arc 7179">
              <a:extLs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81" name="Flowchart: Connector 7180">
              <a:extLst>
                <a:ext uri="{FF2B5EF4-FFF2-40B4-BE49-F238E27FC236}">
                  <a16:creationId xmlns:a16="http://schemas.microsoft.com/office/drawing/2014/main" id="{00000000-0008-0000-0100-00000D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77" name="Arrow: Up-Down 33">
            <a:extLst>
              <a:ext uri="{FF2B5EF4-FFF2-40B4-BE49-F238E27FC236}">
                <a16:creationId xmlns:a16="http://schemas.microsoft.com/office/drawing/2014/main" id="{00000000-0008-0000-0100-000009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203947</xdr:colOff>
      <xdr:row>48</xdr:row>
      <xdr:rowOff>91889</xdr:rowOff>
    </xdr:from>
    <xdr:to>
      <xdr:col>10</xdr:col>
      <xdr:colOff>147917</xdr:colOff>
      <xdr:row>52</xdr:row>
      <xdr:rowOff>118451</xdr:rowOff>
    </xdr:to>
    <xdr:grpSp>
      <xdr:nvGrpSpPr>
        <xdr:cNvPr id="7182" name="Group 7181">
          <a:extLst>
            <a:ext uri="{FF2B5EF4-FFF2-40B4-BE49-F238E27FC236}">
              <a16:creationId xmlns:a16="http://schemas.microsoft.com/office/drawing/2014/main" id="{00000000-0008-0000-0100-00000E1C0000}"/>
            </a:ext>
          </a:extLst>
        </xdr:cNvPr>
        <xdr:cNvGrpSpPr/>
      </xdr:nvGrpSpPr>
      <xdr:grpSpPr>
        <a:xfrm>
          <a:off x="6972300" y="8778689"/>
          <a:ext cx="714935" cy="707880"/>
          <a:chOff x="11373971" y="7160558"/>
          <a:chExt cx="705971" cy="698915"/>
        </a:xfrm>
      </xdr:grpSpPr>
      <xdr:sp macro="" textlink="">
        <xdr:nvSpPr>
          <xdr:cNvPr id="7183" name="Block Arc 7182">
            <a:extLst>
              <a:ext uri="{FF2B5EF4-FFF2-40B4-BE49-F238E27FC236}">
                <a16:creationId xmlns:a16="http://schemas.microsoft.com/office/drawing/2014/main" id="{00000000-0008-0000-0100-00000F1C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84" name="Rectangle 7183">
            <a:extLst>
              <a:ext uri="{FF2B5EF4-FFF2-40B4-BE49-F238E27FC236}">
                <a16:creationId xmlns:a16="http://schemas.microsoft.com/office/drawing/2014/main" id="{00000000-0008-0000-0100-0000101C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SS</a:t>
            </a:r>
          </a:p>
        </xdr:txBody>
      </xdr:sp>
      <xdr:sp macro="" textlink="">
        <xdr:nvSpPr>
          <xdr:cNvPr id="7185" name="Flowchart: Connector 7184">
            <a:extLst>
              <a:ext uri="{FF2B5EF4-FFF2-40B4-BE49-F238E27FC236}">
                <a16:creationId xmlns:a16="http://schemas.microsoft.com/office/drawing/2014/main" id="{00000000-0008-0000-0100-0000111C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210671</xdr:colOff>
      <xdr:row>43</xdr:row>
      <xdr:rowOff>165847</xdr:rowOff>
    </xdr:from>
    <xdr:to>
      <xdr:col>10</xdr:col>
      <xdr:colOff>154641</xdr:colOff>
      <xdr:row>48</xdr:row>
      <xdr:rowOff>24321</xdr:rowOff>
    </xdr:to>
    <xdr:grpSp>
      <xdr:nvGrpSpPr>
        <xdr:cNvPr id="7186" name="Group 7185">
          <a:extLst>
            <a:ext uri="{FF2B5EF4-FFF2-40B4-BE49-F238E27FC236}">
              <a16:creationId xmlns:a16="http://schemas.microsoft.com/office/drawing/2014/main" id="{00000000-0008-0000-0100-0000121C0000}"/>
            </a:ext>
          </a:extLst>
        </xdr:cNvPr>
        <xdr:cNvGrpSpPr/>
      </xdr:nvGrpSpPr>
      <xdr:grpSpPr>
        <a:xfrm>
          <a:off x="6979024" y="8001000"/>
          <a:ext cx="714935" cy="710121"/>
          <a:chOff x="11373971" y="7160558"/>
          <a:chExt cx="705971" cy="698915"/>
        </a:xfrm>
      </xdr:grpSpPr>
      <xdr:sp macro="" textlink="">
        <xdr:nvSpPr>
          <xdr:cNvPr id="7187" name="Block Arc 7186">
            <a:extLst>
              <a:ext uri="{FF2B5EF4-FFF2-40B4-BE49-F238E27FC236}">
                <a16:creationId xmlns:a16="http://schemas.microsoft.com/office/drawing/2014/main" id="{00000000-0008-0000-0100-0000131C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88" name="Rectangle 7187">
            <a:extLst>
              <a:ext uri="{FF2B5EF4-FFF2-40B4-BE49-F238E27FC236}">
                <a16:creationId xmlns:a16="http://schemas.microsoft.com/office/drawing/2014/main" id="{00000000-0008-0000-0100-0000141C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SS</a:t>
            </a:r>
          </a:p>
        </xdr:txBody>
      </xdr:sp>
      <xdr:sp macro="" textlink="">
        <xdr:nvSpPr>
          <xdr:cNvPr id="7189" name="Flowchart: Connector 7188">
            <a:extLst>
              <a:ext uri="{FF2B5EF4-FFF2-40B4-BE49-F238E27FC236}">
                <a16:creationId xmlns:a16="http://schemas.microsoft.com/office/drawing/2014/main" id="{00000000-0008-0000-0100-0000151C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6724</xdr:colOff>
      <xdr:row>42</xdr:row>
      <xdr:rowOff>51547</xdr:rowOff>
    </xdr:from>
    <xdr:to>
      <xdr:col>14</xdr:col>
      <xdr:colOff>244615</xdr:colOff>
      <xdr:row>49</xdr:row>
      <xdr:rowOff>80183</xdr:rowOff>
    </xdr:to>
    <xdr:grpSp>
      <xdr:nvGrpSpPr>
        <xdr:cNvPr id="7190" name="Group 7189">
          <a:extLst>
            <a:ext uri="{FF2B5EF4-FFF2-40B4-BE49-F238E27FC236}">
              <a16:creationId xmlns:a16="http://schemas.microsoft.com/office/drawing/2014/main" id="{00000000-0008-0000-0100-0000161C0000}"/>
            </a:ext>
          </a:extLst>
        </xdr:cNvPr>
        <xdr:cNvGrpSpPr/>
      </xdr:nvGrpSpPr>
      <xdr:grpSpPr>
        <a:xfrm>
          <a:off x="8317006" y="7716371"/>
          <a:ext cx="932656" cy="1220941"/>
          <a:chOff x="12609738" y="4857750"/>
          <a:chExt cx="997405" cy="1224643"/>
        </a:xfrm>
      </xdr:grpSpPr>
      <xdr:grpSp>
        <xdr:nvGrpSpPr>
          <xdr:cNvPr id="7191" name="Group 7190">
            <a:extLst>
              <a:ext uri="{FF2B5EF4-FFF2-40B4-BE49-F238E27FC236}">
                <a16:creationId xmlns:a16="http://schemas.microsoft.com/office/drawing/2014/main" id="{00000000-0008-0000-0100-000017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193" name="Rectangle 7192">
              <a:extLst>
                <a:ext uri="{FF2B5EF4-FFF2-40B4-BE49-F238E27FC236}">
                  <a16:creationId xmlns:a16="http://schemas.microsoft.com/office/drawing/2014/main" id="{00000000-0008-0000-0100-000019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194" name="Rectangle 7193">
              <a:extLst>
                <a:ext uri="{FF2B5EF4-FFF2-40B4-BE49-F238E27FC236}">
                  <a16:creationId xmlns:a16="http://schemas.microsoft.com/office/drawing/2014/main" id="{00000000-0008-0000-0100-00001A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195" name="Block Arc 7194">
              <a:extLst>
                <a:ext uri="{FF2B5EF4-FFF2-40B4-BE49-F238E27FC236}">
                  <a16:creationId xmlns:a16="http://schemas.microsoft.com/office/drawing/2014/main" id="{00000000-0008-0000-0100-00001B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196" name="Flowchart: Connector 7195">
              <a:extLst>
                <a:ext uri="{FF2B5EF4-FFF2-40B4-BE49-F238E27FC236}">
                  <a16:creationId xmlns:a16="http://schemas.microsoft.com/office/drawing/2014/main" id="{00000000-0008-0000-0100-00001C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192" name="Arrow: Up-Down 33">
            <a:extLst>
              <a:ext uri="{FF2B5EF4-FFF2-40B4-BE49-F238E27FC236}">
                <a16:creationId xmlns:a16="http://schemas.microsoft.com/office/drawing/2014/main" id="{00000000-0008-0000-0100-000018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134471</xdr:colOff>
      <xdr:row>49</xdr:row>
      <xdr:rowOff>134471</xdr:rowOff>
    </xdr:from>
    <xdr:to>
      <xdr:col>14</xdr:col>
      <xdr:colOff>78443</xdr:colOff>
      <xdr:row>54</xdr:row>
      <xdr:rowOff>15357</xdr:rowOff>
    </xdr:to>
    <xdr:grpSp>
      <xdr:nvGrpSpPr>
        <xdr:cNvPr id="7197" name="Group 7196">
          <a:extLst>
            <a:ext uri="{FF2B5EF4-FFF2-40B4-BE49-F238E27FC236}">
              <a16:creationId xmlns:a16="http://schemas.microsoft.com/office/drawing/2014/main" id="{00000000-0008-0000-0100-00001D1C0000}"/>
            </a:ext>
          </a:extLst>
        </xdr:cNvPr>
        <xdr:cNvGrpSpPr/>
      </xdr:nvGrpSpPr>
      <xdr:grpSpPr>
        <a:xfrm>
          <a:off x="8444753" y="8991600"/>
          <a:ext cx="714937" cy="732533"/>
          <a:chOff x="12366813" y="7133665"/>
          <a:chExt cx="705971" cy="698915"/>
        </a:xfrm>
      </xdr:grpSpPr>
      <xdr:sp macro="" textlink="">
        <xdr:nvSpPr>
          <xdr:cNvPr id="7198" name="Block Arc 7197">
            <a:extLst>
              <a:ext uri="{FF2B5EF4-FFF2-40B4-BE49-F238E27FC236}">
                <a16:creationId xmlns:a16="http://schemas.microsoft.com/office/drawing/2014/main" id="{00000000-0008-0000-0100-00001E1C0000}"/>
              </a:ext>
            </a:extLst>
          </xdr:cNvPr>
          <xdr:cNvSpPr/>
        </xdr:nvSpPr>
        <xdr:spPr>
          <a:xfrm rot="185606">
            <a:off x="12368101" y="713366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199" name="Rectangle 7198">
            <a:extLst>
              <a:ext uri="{FF2B5EF4-FFF2-40B4-BE49-F238E27FC236}">
                <a16:creationId xmlns:a16="http://schemas.microsoft.com/office/drawing/2014/main" id="{00000000-0008-0000-0100-00001F1C0000}"/>
              </a:ext>
            </a:extLst>
          </xdr:cNvPr>
          <xdr:cNvSpPr/>
        </xdr:nvSpPr>
        <xdr:spPr>
          <a:xfrm>
            <a:off x="12366813" y="7462785"/>
            <a:ext cx="705971" cy="36979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>
                <a:solidFill>
                  <a:schemeClr val="tx1"/>
                </a:solidFill>
              </a:rPr>
              <a:t>HELPING TABLE</a:t>
            </a:r>
          </a:p>
        </xdr:txBody>
      </xdr:sp>
      <xdr:sp macro="" textlink="">
        <xdr:nvSpPr>
          <xdr:cNvPr id="7200" name="Flowchart: Connector 7199">
            <a:extLst>
              <a:ext uri="{FF2B5EF4-FFF2-40B4-BE49-F238E27FC236}">
                <a16:creationId xmlns:a16="http://schemas.microsoft.com/office/drawing/2014/main" id="{00000000-0008-0000-0100-0000201C0000}"/>
              </a:ext>
            </a:extLst>
          </xdr:cNvPr>
          <xdr:cNvSpPr/>
        </xdr:nvSpPr>
        <xdr:spPr>
          <a:xfrm>
            <a:off x="12552196" y="7183045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136712</xdr:colOff>
      <xdr:row>62</xdr:row>
      <xdr:rowOff>80682</xdr:rowOff>
    </xdr:from>
    <xdr:to>
      <xdr:col>10</xdr:col>
      <xdr:colOff>374603</xdr:colOff>
      <xdr:row>69</xdr:row>
      <xdr:rowOff>109318</xdr:rowOff>
    </xdr:to>
    <xdr:grpSp>
      <xdr:nvGrpSpPr>
        <xdr:cNvPr id="7201" name="Group 7200">
          <a:extLst>
            <a:ext uri="{FF2B5EF4-FFF2-40B4-BE49-F238E27FC236}">
              <a16:creationId xmlns:a16="http://schemas.microsoft.com/office/drawing/2014/main" id="{00000000-0008-0000-0100-0000211C0000}"/>
            </a:ext>
          </a:extLst>
        </xdr:cNvPr>
        <xdr:cNvGrpSpPr/>
      </xdr:nvGrpSpPr>
      <xdr:grpSpPr>
        <a:xfrm>
          <a:off x="6905065" y="11152094"/>
          <a:ext cx="1008856" cy="1220942"/>
          <a:chOff x="12609738" y="4857750"/>
          <a:chExt cx="997405" cy="1224643"/>
        </a:xfrm>
      </xdr:grpSpPr>
      <xdr:grpSp>
        <xdr:nvGrpSpPr>
          <xdr:cNvPr id="7202" name="Group 7201">
            <a:extLst>
              <a:ext uri="{FF2B5EF4-FFF2-40B4-BE49-F238E27FC236}">
                <a16:creationId xmlns:a16="http://schemas.microsoft.com/office/drawing/2014/main" id="{00000000-0008-0000-0100-000022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04" name="Rectangle 7203">
              <a:extLst>
                <a:ext uri="{FF2B5EF4-FFF2-40B4-BE49-F238E27FC236}">
                  <a16:creationId xmlns:a16="http://schemas.microsoft.com/office/drawing/2014/main" id="{00000000-0008-0000-0100-000024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3OL</a:t>
              </a:r>
            </a:p>
          </xdr:txBody>
        </xdr:sp>
        <xdr:sp macro="" textlink="">
          <xdr:nvSpPr>
            <xdr:cNvPr id="7205" name="Rectangle 7204">
              <a:extLst>
                <a:ext uri="{FF2B5EF4-FFF2-40B4-BE49-F238E27FC236}">
                  <a16:creationId xmlns:a16="http://schemas.microsoft.com/office/drawing/2014/main" id="{00000000-0008-0000-0100-000025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06" name="Block Arc 7205">
              <a:extLst>
                <a:ext uri="{FF2B5EF4-FFF2-40B4-BE49-F238E27FC236}">
                  <a16:creationId xmlns:a16="http://schemas.microsoft.com/office/drawing/2014/main" id="{00000000-0008-0000-0100-000026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07" name="Flowchart: Connector 7206">
              <a:extLst>
                <a:ext uri="{FF2B5EF4-FFF2-40B4-BE49-F238E27FC236}">
                  <a16:creationId xmlns:a16="http://schemas.microsoft.com/office/drawing/2014/main" id="{00000000-0008-0000-0100-000027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03" name="Arrow: Up-Down 33">
            <a:extLst>
              <a:ext uri="{FF2B5EF4-FFF2-40B4-BE49-F238E27FC236}">
                <a16:creationId xmlns:a16="http://schemas.microsoft.com/office/drawing/2014/main" id="{00000000-0008-0000-0100-000023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378760</xdr:colOff>
      <xdr:row>62</xdr:row>
      <xdr:rowOff>121023</xdr:rowOff>
    </xdr:from>
    <xdr:to>
      <xdr:col>14</xdr:col>
      <xdr:colOff>235651</xdr:colOff>
      <xdr:row>69</xdr:row>
      <xdr:rowOff>149659</xdr:rowOff>
    </xdr:to>
    <xdr:grpSp>
      <xdr:nvGrpSpPr>
        <xdr:cNvPr id="7208" name="Group 7207">
          <a:extLst>
            <a:ext uri="{FF2B5EF4-FFF2-40B4-BE49-F238E27FC236}">
              <a16:creationId xmlns:a16="http://schemas.microsoft.com/office/drawing/2014/main" id="{00000000-0008-0000-0100-0000281C0000}"/>
            </a:ext>
          </a:extLst>
        </xdr:cNvPr>
        <xdr:cNvGrpSpPr/>
      </xdr:nvGrpSpPr>
      <xdr:grpSpPr>
        <a:xfrm>
          <a:off x="8303560" y="11192435"/>
          <a:ext cx="944758" cy="1220942"/>
          <a:chOff x="12609738" y="4857750"/>
          <a:chExt cx="997405" cy="1224643"/>
        </a:xfrm>
      </xdr:grpSpPr>
      <xdr:grpSp>
        <xdr:nvGrpSpPr>
          <xdr:cNvPr id="7209" name="Group 7208">
            <a:extLst>
              <a:ext uri="{FF2B5EF4-FFF2-40B4-BE49-F238E27FC236}">
                <a16:creationId xmlns:a16="http://schemas.microsoft.com/office/drawing/2014/main" id="{00000000-0008-0000-0100-000029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11" name="Rectangle 7210">
              <a:extLst>
                <a:ext uri="{FF2B5EF4-FFF2-40B4-BE49-F238E27FC236}">
                  <a16:creationId xmlns:a16="http://schemas.microsoft.com/office/drawing/2014/main" id="{00000000-0008-0000-0100-00002B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212" name="Rectangle 7211">
              <a:extLst>
                <a:ext uri="{FF2B5EF4-FFF2-40B4-BE49-F238E27FC236}">
                  <a16:creationId xmlns:a16="http://schemas.microsoft.com/office/drawing/2014/main" id="{00000000-0008-0000-0100-00002C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13" name="Block Arc 7212">
              <a:extLst>
                <a:ext uri="{FF2B5EF4-FFF2-40B4-BE49-F238E27FC236}">
                  <a16:creationId xmlns:a16="http://schemas.microsoft.com/office/drawing/2014/main" id="{00000000-0008-0000-0100-00002D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14" name="Flowchart: Connector 7213">
              <a:extLst>
                <a:ext uri="{FF2B5EF4-FFF2-40B4-BE49-F238E27FC236}">
                  <a16:creationId xmlns:a16="http://schemas.microsoft.com/office/drawing/2014/main" id="{00000000-0008-0000-0100-00002E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10" name="Arrow: Up-Down 33">
            <a:extLst>
              <a:ext uri="{FF2B5EF4-FFF2-40B4-BE49-F238E27FC236}">
                <a16:creationId xmlns:a16="http://schemas.microsoft.com/office/drawing/2014/main" id="{00000000-0008-0000-0100-00002A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150160</xdr:colOff>
      <xdr:row>69</xdr:row>
      <xdr:rowOff>150158</xdr:rowOff>
    </xdr:from>
    <xdr:to>
      <xdr:col>11</xdr:col>
      <xdr:colOff>7051</xdr:colOff>
      <xdr:row>77</xdr:row>
      <xdr:rowOff>10706</xdr:rowOff>
    </xdr:to>
    <xdr:grpSp>
      <xdr:nvGrpSpPr>
        <xdr:cNvPr id="7215" name="Group 7214">
          <a:extLst>
            <a:ext uri="{FF2B5EF4-FFF2-40B4-BE49-F238E27FC236}">
              <a16:creationId xmlns:a16="http://schemas.microsoft.com/office/drawing/2014/main" id="{00000000-0008-0000-0100-00002F1C0000}"/>
            </a:ext>
          </a:extLst>
        </xdr:cNvPr>
        <xdr:cNvGrpSpPr/>
      </xdr:nvGrpSpPr>
      <xdr:grpSpPr>
        <a:xfrm>
          <a:off x="6918513" y="12413876"/>
          <a:ext cx="1013338" cy="1223183"/>
          <a:chOff x="12609738" y="4857750"/>
          <a:chExt cx="997405" cy="1224643"/>
        </a:xfrm>
      </xdr:grpSpPr>
      <xdr:grpSp>
        <xdr:nvGrpSpPr>
          <xdr:cNvPr id="7216" name="Group 7215">
            <a:extLst>
              <a:ext uri="{FF2B5EF4-FFF2-40B4-BE49-F238E27FC236}">
                <a16:creationId xmlns:a16="http://schemas.microsoft.com/office/drawing/2014/main" id="{00000000-0008-0000-0100-000030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18" name="Rectangle 7217">
              <a:extLst>
                <a:ext uri="{FF2B5EF4-FFF2-40B4-BE49-F238E27FC236}">
                  <a16:creationId xmlns:a16="http://schemas.microsoft.com/office/drawing/2014/main" id="{00000000-0008-0000-0100-000032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219" name="Rectangle 7218">
              <a:extLst>
                <a:ext uri="{FF2B5EF4-FFF2-40B4-BE49-F238E27FC236}">
                  <a16:creationId xmlns:a16="http://schemas.microsoft.com/office/drawing/2014/main" id="{00000000-0008-0000-0100-000033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20" name="Block Arc 7219">
              <a:extLst>
                <a:ext uri="{FF2B5EF4-FFF2-40B4-BE49-F238E27FC236}">
                  <a16:creationId xmlns:a16="http://schemas.microsoft.com/office/drawing/2014/main" id="{00000000-0008-0000-0100-000034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21" name="Flowchart: Connector 7220">
              <a:extLst>
                <a:ext uri="{FF2B5EF4-FFF2-40B4-BE49-F238E27FC236}">
                  <a16:creationId xmlns:a16="http://schemas.microsoft.com/office/drawing/2014/main" id="{00000000-0008-0000-0100-000035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17" name="Arrow: Up-Down 33">
            <a:extLst>
              <a:ext uri="{FF2B5EF4-FFF2-40B4-BE49-F238E27FC236}">
                <a16:creationId xmlns:a16="http://schemas.microsoft.com/office/drawing/2014/main" id="{00000000-0008-0000-0100-000031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369794</xdr:colOff>
      <xdr:row>70</xdr:row>
      <xdr:rowOff>33618</xdr:rowOff>
    </xdr:from>
    <xdr:to>
      <xdr:col>13</xdr:col>
      <xdr:colOff>374313</xdr:colOff>
      <xdr:row>79</xdr:row>
      <xdr:rowOff>138595</xdr:rowOff>
    </xdr:to>
    <xdr:grpSp>
      <xdr:nvGrpSpPr>
        <xdr:cNvPr id="7222" name="Group 7221">
          <a:extLst>
            <a:ext uri="{FF2B5EF4-FFF2-40B4-BE49-F238E27FC236}">
              <a16:creationId xmlns:a16="http://schemas.microsoft.com/office/drawing/2014/main" id="{00000000-0008-0000-0100-0000361C0000}"/>
            </a:ext>
          </a:extLst>
        </xdr:cNvPr>
        <xdr:cNvGrpSpPr/>
      </xdr:nvGrpSpPr>
      <xdr:grpSpPr>
        <a:xfrm>
          <a:off x="8294594" y="12467665"/>
          <a:ext cx="775484" cy="1637942"/>
          <a:chOff x="11340352" y="3906729"/>
          <a:chExt cx="766520" cy="1606565"/>
        </a:xfrm>
      </xdr:grpSpPr>
      <xdr:sp macro="" textlink="">
        <xdr:nvSpPr>
          <xdr:cNvPr id="7223" name="Block Arc 7222">
            <a:extLst>
              <a:ext uri="{FF2B5EF4-FFF2-40B4-BE49-F238E27FC236}">
                <a16:creationId xmlns:a16="http://schemas.microsoft.com/office/drawing/2014/main" id="{00000000-0008-0000-0100-0000371C0000}"/>
              </a:ext>
            </a:extLst>
          </xdr:cNvPr>
          <xdr:cNvSpPr/>
        </xdr:nvSpPr>
        <xdr:spPr>
          <a:xfrm rot="5400000">
            <a:off x="11320200" y="4323210"/>
            <a:ext cx="806823" cy="766520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pSp>
        <xdr:nvGrpSpPr>
          <xdr:cNvPr id="7224" name="Group 7223">
            <a:extLst>
              <a:ext uri="{FF2B5EF4-FFF2-40B4-BE49-F238E27FC236}">
                <a16:creationId xmlns:a16="http://schemas.microsoft.com/office/drawing/2014/main" id="{00000000-0008-0000-0100-0000381C0000}"/>
              </a:ext>
            </a:extLst>
          </xdr:cNvPr>
          <xdr:cNvGrpSpPr/>
        </xdr:nvGrpSpPr>
        <xdr:grpSpPr>
          <a:xfrm>
            <a:off x="11366896" y="3906729"/>
            <a:ext cx="723017" cy="1606565"/>
            <a:chOff x="10763249" y="993949"/>
            <a:chExt cx="688523" cy="1377044"/>
          </a:xfrm>
        </xdr:grpSpPr>
        <xdr:sp macro="" textlink="">
          <xdr:nvSpPr>
            <xdr:cNvPr id="7225" name="Flowchart: Connector 7224">
              <a:extLst>
                <a:ext uri="{FF2B5EF4-FFF2-40B4-BE49-F238E27FC236}">
                  <a16:creationId xmlns:a16="http://schemas.microsoft.com/office/drawing/2014/main" id="{00000000-0008-0000-0100-0000391C0000}"/>
                </a:ext>
              </a:extLst>
            </xdr:cNvPr>
            <xdr:cNvSpPr/>
          </xdr:nvSpPr>
          <xdr:spPr>
            <a:xfrm>
              <a:off x="11113520" y="1502607"/>
              <a:ext cx="318091" cy="304014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226" name="Rectangle 7225">
              <a:extLst>
                <a:ext uri="{FF2B5EF4-FFF2-40B4-BE49-F238E27FC236}">
                  <a16:creationId xmlns:a16="http://schemas.microsoft.com/office/drawing/2014/main" id="{00000000-0008-0000-0100-00003A1C0000}"/>
                </a:ext>
              </a:extLst>
            </xdr:cNvPr>
            <xdr:cNvSpPr/>
          </xdr:nvSpPr>
          <xdr:spPr>
            <a:xfrm>
              <a:off x="10763249" y="2045857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27" name="Rectangle 7226">
              <a:extLst>
                <a:ext uri="{FF2B5EF4-FFF2-40B4-BE49-F238E27FC236}">
                  <a16:creationId xmlns:a16="http://schemas.microsoft.com/office/drawing/2014/main" id="{00000000-0008-0000-0100-00003B1C0000}"/>
                </a:ext>
              </a:extLst>
            </xdr:cNvPr>
            <xdr:cNvSpPr/>
          </xdr:nvSpPr>
          <xdr:spPr>
            <a:xfrm rot="16200000">
              <a:off x="10591119" y="1519903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28" name="Rectangle 7227">
              <a:extLst>
                <a:ext uri="{FF2B5EF4-FFF2-40B4-BE49-F238E27FC236}">
                  <a16:creationId xmlns:a16="http://schemas.microsoft.com/office/drawing/2014/main" id="{00000000-0008-0000-0100-00003C1C0000}"/>
                </a:ext>
              </a:extLst>
            </xdr:cNvPr>
            <xdr:cNvSpPr/>
          </xdr:nvSpPr>
          <xdr:spPr>
            <a:xfrm>
              <a:off x="10763249" y="993949"/>
              <a:ext cx="688523" cy="32513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4OL</a:t>
              </a:r>
            </a:p>
          </xdr:txBody>
        </xdr:sp>
      </xdr:grpSp>
    </xdr:grpSp>
    <xdr:clientData/>
  </xdr:twoCellAnchor>
  <xdr:twoCellAnchor>
    <xdr:from>
      <xdr:col>12</xdr:col>
      <xdr:colOff>38100</xdr:colOff>
      <xdr:row>80</xdr:row>
      <xdr:rowOff>4483</xdr:rowOff>
    </xdr:from>
    <xdr:to>
      <xdr:col>14</xdr:col>
      <xdr:colOff>275991</xdr:colOff>
      <xdr:row>87</xdr:row>
      <xdr:rowOff>33119</xdr:rowOff>
    </xdr:to>
    <xdr:grpSp>
      <xdr:nvGrpSpPr>
        <xdr:cNvPr id="7229" name="Group 7228">
          <a:extLst>
            <a:ext uri="{FF2B5EF4-FFF2-40B4-BE49-F238E27FC236}">
              <a16:creationId xmlns:a16="http://schemas.microsoft.com/office/drawing/2014/main" id="{00000000-0008-0000-0100-00003D1C0000}"/>
            </a:ext>
          </a:extLst>
        </xdr:cNvPr>
        <xdr:cNvGrpSpPr/>
      </xdr:nvGrpSpPr>
      <xdr:grpSpPr>
        <a:xfrm>
          <a:off x="8348382" y="14141824"/>
          <a:ext cx="902176" cy="1220942"/>
          <a:chOff x="12609738" y="4857750"/>
          <a:chExt cx="997405" cy="1224643"/>
        </a:xfrm>
      </xdr:grpSpPr>
      <xdr:grpSp>
        <xdr:nvGrpSpPr>
          <xdr:cNvPr id="7230" name="Group 7229">
            <a:extLst>
              <a:ext uri="{FF2B5EF4-FFF2-40B4-BE49-F238E27FC236}">
                <a16:creationId xmlns:a16="http://schemas.microsoft.com/office/drawing/2014/main" id="{00000000-0008-0000-0100-00003E1C0000}"/>
              </a:ext>
            </a:extLst>
          </xdr:cNvPr>
          <xdr:cNvGrpSpPr/>
        </xdr:nvGrpSpPr>
        <xdr:grpSpPr>
          <a:xfrm>
            <a:off x="12609738" y="4876070"/>
            <a:ext cx="688522" cy="1194210"/>
            <a:chOff x="2476499" y="544914"/>
            <a:chExt cx="685801" cy="1188818"/>
          </a:xfrm>
        </xdr:grpSpPr>
        <xdr:sp macro="" textlink="">
          <xdr:nvSpPr>
            <xdr:cNvPr id="7232" name="Rectangle 7231">
              <a:extLst>
                <a:ext uri="{FF2B5EF4-FFF2-40B4-BE49-F238E27FC236}">
                  <a16:creationId xmlns:a16="http://schemas.microsoft.com/office/drawing/2014/main" id="{00000000-0008-0000-0100-0000401C0000}"/>
                </a:ext>
              </a:extLst>
            </xdr:cNvPr>
            <xdr:cNvSpPr/>
          </xdr:nvSpPr>
          <xdr:spPr>
            <a:xfrm>
              <a:off x="2476499" y="1331692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33" name="Rectangle 7232">
              <a:extLst>
                <a:ext uri="{FF2B5EF4-FFF2-40B4-BE49-F238E27FC236}">
                  <a16:creationId xmlns:a16="http://schemas.microsoft.com/office/drawing/2014/main" id="{00000000-0008-0000-0100-000041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34" name="Block Arc 7233">
              <a:extLst>
                <a:ext uri="{FF2B5EF4-FFF2-40B4-BE49-F238E27FC236}">
                  <a16:creationId xmlns:a16="http://schemas.microsoft.com/office/drawing/2014/main" id="{00000000-0008-0000-0100-000042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35" name="Flowchart: Connector 7234">
              <a:extLst>
                <a:ext uri="{FF2B5EF4-FFF2-40B4-BE49-F238E27FC236}">
                  <a16:creationId xmlns:a16="http://schemas.microsoft.com/office/drawing/2014/main" id="{00000000-0008-0000-0100-000043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31" name="Arrow: Up-Down 33">
            <a:extLst>
              <a:ext uri="{FF2B5EF4-FFF2-40B4-BE49-F238E27FC236}">
                <a16:creationId xmlns:a16="http://schemas.microsoft.com/office/drawing/2014/main" id="{00000000-0008-0000-0100-00003F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134471</xdr:colOff>
      <xdr:row>77</xdr:row>
      <xdr:rowOff>67235</xdr:rowOff>
    </xdr:from>
    <xdr:to>
      <xdr:col>10</xdr:col>
      <xdr:colOff>372362</xdr:colOff>
      <xdr:row>84</xdr:row>
      <xdr:rowOff>95872</xdr:rowOff>
    </xdr:to>
    <xdr:grpSp>
      <xdr:nvGrpSpPr>
        <xdr:cNvPr id="7236" name="Group 7235">
          <a:extLst>
            <a:ext uri="{FF2B5EF4-FFF2-40B4-BE49-F238E27FC236}">
              <a16:creationId xmlns:a16="http://schemas.microsoft.com/office/drawing/2014/main" id="{00000000-0008-0000-0100-0000441C0000}"/>
            </a:ext>
          </a:extLst>
        </xdr:cNvPr>
        <xdr:cNvGrpSpPr/>
      </xdr:nvGrpSpPr>
      <xdr:grpSpPr>
        <a:xfrm>
          <a:off x="6902824" y="13693588"/>
          <a:ext cx="1008856" cy="1220943"/>
          <a:chOff x="12609738" y="4857750"/>
          <a:chExt cx="997405" cy="1224643"/>
        </a:xfrm>
      </xdr:grpSpPr>
      <xdr:grpSp>
        <xdr:nvGrpSpPr>
          <xdr:cNvPr id="7237" name="Group 7236">
            <a:extLst>
              <a:ext uri="{FF2B5EF4-FFF2-40B4-BE49-F238E27FC236}">
                <a16:creationId xmlns:a16="http://schemas.microsoft.com/office/drawing/2014/main" id="{00000000-0008-0000-0100-000045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39" name="Rectangle 7238">
              <a:extLst>
                <a:ext uri="{FF2B5EF4-FFF2-40B4-BE49-F238E27FC236}">
                  <a16:creationId xmlns:a16="http://schemas.microsoft.com/office/drawing/2014/main" id="{00000000-0008-0000-0100-000047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240" name="Rectangle 7239">
              <a:extLst>
                <a:ext uri="{FF2B5EF4-FFF2-40B4-BE49-F238E27FC236}">
                  <a16:creationId xmlns:a16="http://schemas.microsoft.com/office/drawing/2014/main" id="{00000000-0008-0000-0100-000048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41" name="Block Arc 7240">
              <a:extLst>
                <a:ext uri="{FF2B5EF4-FFF2-40B4-BE49-F238E27FC236}">
                  <a16:creationId xmlns:a16="http://schemas.microsoft.com/office/drawing/2014/main" id="{00000000-0008-0000-0100-000049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42" name="Flowchart: Connector 7241">
              <a:extLst>
                <a:ext uri="{FF2B5EF4-FFF2-40B4-BE49-F238E27FC236}">
                  <a16:creationId xmlns:a16="http://schemas.microsoft.com/office/drawing/2014/main" id="{00000000-0008-0000-0100-00004A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38" name="Arrow: Up-Down 33">
            <a:extLst>
              <a:ext uri="{FF2B5EF4-FFF2-40B4-BE49-F238E27FC236}">
                <a16:creationId xmlns:a16="http://schemas.microsoft.com/office/drawing/2014/main" id="{00000000-0008-0000-0100-000046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163606</xdr:colOff>
      <xdr:row>84</xdr:row>
      <xdr:rowOff>129988</xdr:rowOff>
    </xdr:from>
    <xdr:to>
      <xdr:col>11</xdr:col>
      <xdr:colOff>20497</xdr:colOff>
      <xdr:row>91</xdr:row>
      <xdr:rowOff>158624</xdr:rowOff>
    </xdr:to>
    <xdr:grpSp>
      <xdr:nvGrpSpPr>
        <xdr:cNvPr id="7243" name="Group 7242">
          <a:extLst>
            <a:ext uri="{FF2B5EF4-FFF2-40B4-BE49-F238E27FC236}">
              <a16:creationId xmlns:a16="http://schemas.microsoft.com/office/drawing/2014/main" id="{00000000-0008-0000-0100-00004B1C0000}"/>
            </a:ext>
          </a:extLst>
        </xdr:cNvPr>
        <xdr:cNvGrpSpPr/>
      </xdr:nvGrpSpPr>
      <xdr:grpSpPr>
        <a:xfrm>
          <a:off x="6931959" y="14948647"/>
          <a:ext cx="1013338" cy="1220942"/>
          <a:chOff x="12609738" y="4857750"/>
          <a:chExt cx="997405" cy="1224643"/>
        </a:xfrm>
      </xdr:grpSpPr>
      <xdr:grpSp>
        <xdr:nvGrpSpPr>
          <xdr:cNvPr id="7244" name="Group 7243">
            <a:extLst>
              <a:ext uri="{FF2B5EF4-FFF2-40B4-BE49-F238E27FC236}">
                <a16:creationId xmlns:a16="http://schemas.microsoft.com/office/drawing/2014/main" id="{00000000-0008-0000-0100-00004C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46" name="Rectangle 7245">
              <a:extLst>
                <a:ext uri="{FF2B5EF4-FFF2-40B4-BE49-F238E27FC236}">
                  <a16:creationId xmlns:a16="http://schemas.microsoft.com/office/drawing/2014/main" id="{00000000-0008-0000-0100-00004E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247" name="Rectangle 7246">
              <a:extLst>
                <a:ext uri="{FF2B5EF4-FFF2-40B4-BE49-F238E27FC236}">
                  <a16:creationId xmlns:a16="http://schemas.microsoft.com/office/drawing/2014/main" id="{00000000-0008-0000-0100-00004F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248" name="Block Arc 7247">
              <a:extLst>
                <a:ext uri="{FF2B5EF4-FFF2-40B4-BE49-F238E27FC236}">
                  <a16:creationId xmlns:a16="http://schemas.microsoft.com/office/drawing/2014/main" id="{00000000-0008-0000-0100-000050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49" name="Flowchart: Connector 7248">
              <a:extLst>
                <a:ext uri="{FF2B5EF4-FFF2-40B4-BE49-F238E27FC236}">
                  <a16:creationId xmlns:a16="http://schemas.microsoft.com/office/drawing/2014/main" id="{00000000-0008-0000-0100-000051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45" name="Arrow: Up-Down 33">
            <a:extLst>
              <a:ext uri="{FF2B5EF4-FFF2-40B4-BE49-F238E27FC236}">
                <a16:creationId xmlns:a16="http://schemas.microsoft.com/office/drawing/2014/main" id="{00000000-0008-0000-0100-00004D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134471</xdr:colOff>
      <xdr:row>92</xdr:row>
      <xdr:rowOff>22411</xdr:rowOff>
    </xdr:from>
    <xdr:to>
      <xdr:col>10</xdr:col>
      <xdr:colOff>372362</xdr:colOff>
      <xdr:row>99</xdr:row>
      <xdr:rowOff>51047</xdr:rowOff>
    </xdr:to>
    <xdr:grpSp>
      <xdr:nvGrpSpPr>
        <xdr:cNvPr id="7250" name="Group 7249">
          <a:extLst>
            <a:ext uri="{FF2B5EF4-FFF2-40B4-BE49-F238E27FC236}">
              <a16:creationId xmlns:a16="http://schemas.microsoft.com/office/drawing/2014/main" id="{00000000-0008-0000-0100-0000521C0000}"/>
            </a:ext>
          </a:extLst>
        </xdr:cNvPr>
        <xdr:cNvGrpSpPr/>
      </xdr:nvGrpSpPr>
      <xdr:grpSpPr>
        <a:xfrm>
          <a:off x="6902824" y="16203705"/>
          <a:ext cx="1008856" cy="1220942"/>
          <a:chOff x="12609738" y="4857750"/>
          <a:chExt cx="997405" cy="1224643"/>
        </a:xfrm>
      </xdr:grpSpPr>
      <xdr:grpSp>
        <xdr:nvGrpSpPr>
          <xdr:cNvPr id="7251" name="Group 7250">
            <a:extLst>
              <a:ext uri="{FF2B5EF4-FFF2-40B4-BE49-F238E27FC236}">
                <a16:creationId xmlns:a16="http://schemas.microsoft.com/office/drawing/2014/main" id="{00000000-0008-0000-0100-000053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53" name="Rectangle 7252">
              <a:extLst>
                <a:ext uri="{FF2B5EF4-FFF2-40B4-BE49-F238E27FC236}">
                  <a16:creationId xmlns:a16="http://schemas.microsoft.com/office/drawing/2014/main" id="{00000000-0008-0000-0100-000055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54" name="Rectangle 7253">
              <a:extLst>
                <a:ext uri="{FF2B5EF4-FFF2-40B4-BE49-F238E27FC236}">
                  <a16:creationId xmlns:a16="http://schemas.microsoft.com/office/drawing/2014/main" id="{00000000-0008-0000-0100-000056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55" name="Block Arc 7254">
              <a:extLst>
                <a:ext uri="{FF2B5EF4-FFF2-40B4-BE49-F238E27FC236}">
                  <a16:creationId xmlns:a16="http://schemas.microsoft.com/office/drawing/2014/main" id="{00000000-0008-0000-0100-000057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56" name="Flowchart: Connector 7255">
              <a:extLst>
                <a:ext uri="{FF2B5EF4-FFF2-40B4-BE49-F238E27FC236}">
                  <a16:creationId xmlns:a16="http://schemas.microsoft.com/office/drawing/2014/main" id="{00000000-0008-0000-0100-000058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52" name="Arrow: Up-Down 33">
            <a:extLst>
              <a:ext uri="{FF2B5EF4-FFF2-40B4-BE49-F238E27FC236}">
                <a16:creationId xmlns:a16="http://schemas.microsoft.com/office/drawing/2014/main" id="{00000000-0008-0000-0100-000054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78442</xdr:colOff>
      <xdr:row>87</xdr:row>
      <xdr:rowOff>89647</xdr:rowOff>
    </xdr:from>
    <xdr:to>
      <xdr:col>14</xdr:col>
      <xdr:colOff>61789</xdr:colOff>
      <xdr:row>92</xdr:row>
      <xdr:rowOff>72215</xdr:rowOff>
    </xdr:to>
    <xdr:grpSp>
      <xdr:nvGrpSpPr>
        <xdr:cNvPr id="7257" name="Group 7256">
          <a:extLst>
            <a:ext uri="{FF2B5EF4-FFF2-40B4-BE49-F238E27FC236}">
              <a16:creationId xmlns:a16="http://schemas.microsoft.com/office/drawing/2014/main" id="{00000000-0008-0000-0100-0000591C0000}"/>
            </a:ext>
          </a:extLst>
        </xdr:cNvPr>
        <xdr:cNvGrpSpPr/>
      </xdr:nvGrpSpPr>
      <xdr:grpSpPr>
        <a:xfrm>
          <a:off x="8388724" y="15419294"/>
          <a:ext cx="754312" cy="834215"/>
          <a:chOff x="639533" y="1809018"/>
          <a:chExt cx="688522" cy="686532"/>
        </a:xfrm>
      </xdr:grpSpPr>
      <xdr:sp macro="" textlink="">
        <xdr:nvSpPr>
          <xdr:cNvPr id="7258" name="Rectangle 7257">
            <a:extLst>
              <a:ext uri="{FF2B5EF4-FFF2-40B4-BE49-F238E27FC236}">
                <a16:creationId xmlns:a16="http://schemas.microsoft.com/office/drawing/2014/main" id="{00000000-0008-0000-0100-00005A1C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</a:t>
            </a:r>
          </a:p>
        </xdr:txBody>
      </xdr:sp>
      <xdr:sp macro="" textlink="">
        <xdr:nvSpPr>
          <xdr:cNvPr id="7259" name="Block Arc 7258">
            <a:extLst>
              <a:ext uri="{FF2B5EF4-FFF2-40B4-BE49-F238E27FC236}">
                <a16:creationId xmlns:a16="http://schemas.microsoft.com/office/drawing/2014/main" id="{00000000-0008-0000-0100-00005B1C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60" name="Flowchart: Connector 7259">
            <a:extLst>
              <a:ext uri="{FF2B5EF4-FFF2-40B4-BE49-F238E27FC236}">
                <a16:creationId xmlns:a16="http://schemas.microsoft.com/office/drawing/2014/main" id="{00000000-0008-0000-0100-00005C1C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233082</xdr:colOff>
      <xdr:row>145</xdr:row>
      <xdr:rowOff>26894</xdr:rowOff>
    </xdr:from>
    <xdr:to>
      <xdr:col>10</xdr:col>
      <xdr:colOff>229876</xdr:colOff>
      <xdr:row>150</xdr:row>
      <xdr:rowOff>9461</xdr:rowOff>
    </xdr:to>
    <xdr:grpSp>
      <xdr:nvGrpSpPr>
        <xdr:cNvPr id="7261" name="Group 7260">
          <a:extLst>
            <a:ext uri="{FF2B5EF4-FFF2-40B4-BE49-F238E27FC236}">
              <a16:creationId xmlns:a16="http://schemas.microsoft.com/office/drawing/2014/main" id="{00000000-0008-0000-0100-00005D1C0000}"/>
            </a:ext>
          </a:extLst>
        </xdr:cNvPr>
        <xdr:cNvGrpSpPr/>
      </xdr:nvGrpSpPr>
      <xdr:grpSpPr>
        <a:xfrm>
          <a:off x="7001435" y="25235647"/>
          <a:ext cx="767759" cy="834214"/>
          <a:chOff x="639533" y="1809018"/>
          <a:chExt cx="688522" cy="686532"/>
        </a:xfrm>
      </xdr:grpSpPr>
      <xdr:sp macro="" textlink="">
        <xdr:nvSpPr>
          <xdr:cNvPr id="7262" name="Rectangle 7261">
            <a:extLst>
              <a:ext uri="{FF2B5EF4-FFF2-40B4-BE49-F238E27FC236}">
                <a16:creationId xmlns:a16="http://schemas.microsoft.com/office/drawing/2014/main" id="{00000000-0008-0000-0100-00005E1C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SNEC</a:t>
            </a:r>
          </a:p>
        </xdr:txBody>
      </xdr:sp>
      <xdr:sp macro="" textlink="">
        <xdr:nvSpPr>
          <xdr:cNvPr id="7263" name="Block Arc 7262">
            <a:extLst>
              <a:ext uri="{FF2B5EF4-FFF2-40B4-BE49-F238E27FC236}">
                <a16:creationId xmlns:a16="http://schemas.microsoft.com/office/drawing/2014/main" id="{00000000-0008-0000-0100-00005F1C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64" name="Flowchart: Connector 7263">
            <a:extLst>
              <a:ext uri="{FF2B5EF4-FFF2-40B4-BE49-F238E27FC236}">
                <a16:creationId xmlns:a16="http://schemas.microsoft.com/office/drawing/2014/main" id="{00000000-0008-0000-0100-0000601C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96371</xdr:colOff>
      <xdr:row>92</xdr:row>
      <xdr:rowOff>118785</xdr:rowOff>
    </xdr:from>
    <xdr:to>
      <xdr:col>14</xdr:col>
      <xdr:colOff>40343</xdr:colOff>
      <xdr:row>96</xdr:row>
      <xdr:rowOff>167759</xdr:rowOff>
    </xdr:to>
    <xdr:grpSp>
      <xdr:nvGrpSpPr>
        <xdr:cNvPr id="7265" name="Group 7264">
          <a:extLst>
            <a:ext uri="{FF2B5EF4-FFF2-40B4-BE49-F238E27FC236}">
              <a16:creationId xmlns:a16="http://schemas.microsoft.com/office/drawing/2014/main" id="{00000000-0008-0000-0100-0000611C0000}"/>
            </a:ext>
          </a:extLst>
        </xdr:cNvPr>
        <xdr:cNvGrpSpPr/>
      </xdr:nvGrpSpPr>
      <xdr:grpSpPr>
        <a:xfrm>
          <a:off x="8406653" y="16300079"/>
          <a:ext cx="714937" cy="730292"/>
          <a:chOff x="12366813" y="7133665"/>
          <a:chExt cx="705971" cy="698915"/>
        </a:xfrm>
      </xdr:grpSpPr>
      <xdr:sp macro="" textlink="">
        <xdr:nvSpPr>
          <xdr:cNvPr id="7266" name="Block Arc 7265">
            <a:extLst>
              <a:ext uri="{FF2B5EF4-FFF2-40B4-BE49-F238E27FC236}">
                <a16:creationId xmlns:a16="http://schemas.microsoft.com/office/drawing/2014/main" id="{00000000-0008-0000-0100-0000621C0000}"/>
              </a:ext>
            </a:extLst>
          </xdr:cNvPr>
          <xdr:cNvSpPr/>
        </xdr:nvSpPr>
        <xdr:spPr>
          <a:xfrm rot="185606">
            <a:off x="12368101" y="713366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67" name="Rectangle 7266">
            <a:extLst>
              <a:ext uri="{FF2B5EF4-FFF2-40B4-BE49-F238E27FC236}">
                <a16:creationId xmlns:a16="http://schemas.microsoft.com/office/drawing/2014/main" id="{00000000-0008-0000-0100-0000631C0000}"/>
              </a:ext>
            </a:extLst>
          </xdr:cNvPr>
          <xdr:cNvSpPr/>
        </xdr:nvSpPr>
        <xdr:spPr>
          <a:xfrm>
            <a:off x="12366813" y="7462785"/>
            <a:ext cx="705971" cy="36979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>
                <a:solidFill>
                  <a:schemeClr val="tx1"/>
                </a:solidFill>
              </a:rPr>
              <a:t>HELPING TABLE</a:t>
            </a:r>
          </a:p>
        </xdr:txBody>
      </xdr:sp>
      <xdr:sp macro="" textlink="">
        <xdr:nvSpPr>
          <xdr:cNvPr id="7268" name="Flowchart: Connector 7267">
            <a:extLst>
              <a:ext uri="{FF2B5EF4-FFF2-40B4-BE49-F238E27FC236}">
                <a16:creationId xmlns:a16="http://schemas.microsoft.com/office/drawing/2014/main" id="{00000000-0008-0000-0100-0000641C0000}"/>
              </a:ext>
            </a:extLst>
          </xdr:cNvPr>
          <xdr:cNvSpPr/>
        </xdr:nvSpPr>
        <xdr:spPr>
          <a:xfrm>
            <a:off x="12552196" y="7183045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136712</xdr:colOff>
      <xdr:row>97</xdr:row>
      <xdr:rowOff>58274</xdr:rowOff>
    </xdr:from>
    <xdr:to>
      <xdr:col>14</xdr:col>
      <xdr:colOff>80684</xdr:colOff>
      <xdr:row>101</xdr:row>
      <xdr:rowOff>107248</xdr:rowOff>
    </xdr:to>
    <xdr:grpSp>
      <xdr:nvGrpSpPr>
        <xdr:cNvPr id="7269" name="Group 7268">
          <a:extLst>
            <a:ext uri="{FF2B5EF4-FFF2-40B4-BE49-F238E27FC236}">
              <a16:creationId xmlns:a16="http://schemas.microsoft.com/office/drawing/2014/main" id="{00000000-0008-0000-0100-0000651C0000}"/>
            </a:ext>
          </a:extLst>
        </xdr:cNvPr>
        <xdr:cNvGrpSpPr/>
      </xdr:nvGrpSpPr>
      <xdr:grpSpPr>
        <a:xfrm rot="10800000">
          <a:off x="8446994" y="17091215"/>
          <a:ext cx="714937" cy="730292"/>
          <a:chOff x="12366813" y="7133665"/>
          <a:chExt cx="705971" cy="698915"/>
        </a:xfrm>
      </xdr:grpSpPr>
      <xdr:sp macro="" textlink="">
        <xdr:nvSpPr>
          <xdr:cNvPr id="7270" name="Block Arc 7269">
            <a:extLst>
              <a:ext uri="{FF2B5EF4-FFF2-40B4-BE49-F238E27FC236}">
                <a16:creationId xmlns:a16="http://schemas.microsoft.com/office/drawing/2014/main" id="{00000000-0008-0000-0100-0000661C0000}"/>
              </a:ext>
            </a:extLst>
          </xdr:cNvPr>
          <xdr:cNvSpPr/>
        </xdr:nvSpPr>
        <xdr:spPr>
          <a:xfrm rot="185606">
            <a:off x="12368101" y="713366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71" name="Rectangle 7270">
            <a:extLst>
              <a:ext uri="{FF2B5EF4-FFF2-40B4-BE49-F238E27FC236}">
                <a16:creationId xmlns:a16="http://schemas.microsoft.com/office/drawing/2014/main" id="{00000000-0008-0000-0100-0000671C0000}"/>
              </a:ext>
            </a:extLst>
          </xdr:cNvPr>
          <xdr:cNvSpPr/>
        </xdr:nvSpPr>
        <xdr:spPr>
          <a:xfrm>
            <a:off x="12366813" y="7462785"/>
            <a:ext cx="705971" cy="36979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>
                <a:solidFill>
                  <a:schemeClr val="tx1"/>
                </a:solidFill>
              </a:rPr>
              <a:t>HELPING TABLE</a:t>
            </a:r>
          </a:p>
        </xdr:txBody>
      </xdr:sp>
      <xdr:sp macro="" textlink="">
        <xdr:nvSpPr>
          <xdr:cNvPr id="7272" name="Flowchart: Connector 7271">
            <a:extLst>
              <a:ext uri="{FF2B5EF4-FFF2-40B4-BE49-F238E27FC236}">
                <a16:creationId xmlns:a16="http://schemas.microsoft.com/office/drawing/2014/main" id="{00000000-0008-0000-0100-0000681C0000}"/>
              </a:ext>
            </a:extLst>
          </xdr:cNvPr>
          <xdr:cNvSpPr/>
        </xdr:nvSpPr>
        <xdr:spPr>
          <a:xfrm>
            <a:off x="12552196" y="7183045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40342</xdr:colOff>
      <xdr:row>101</xdr:row>
      <xdr:rowOff>129987</xdr:rowOff>
    </xdr:from>
    <xdr:to>
      <xdr:col>14</xdr:col>
      <xdr:colOff>278233</xdr:colOff>
      <xdr:row>108</xdr:row>
      <xdr:rowOff>158623</xdr:rowOff>
    </xdr:to>
    <xdr:grpSp>
      <xdr:nvGrpSpPr>
        <xdr:cNvPr id="7273" name="Group 7272">
          <a:extLst>
            <a:ext uri="{FF2B5EF4-FFF2-40B4-BE49-F238E27FC236}">
              <a16:creationId xmlns:a16="http://schemas.microsoft.com/office/drawing/2014/main" id="{00000000-0008-0000-0100-0000691C0000}"/>
            </a:ext>
          </a:extLst>
        </xdr:cNvPr>
        <xdr:cNvGrpSpPr/>
      </xdr:nvGrpSpPr>
      <xdr:grpSpPr>
        <a:xfrm>
          <a:off x="8350624" y="17844246"/>
          <a:ext cx="894556" cy="1220942"/>
          <a:chOff x="12609738" y="4857750"/>
          <a:chExt cx="997405" cy="1224643"/>
        </a:xfrm>
      </xdr:grpSpPr>
      <xdr:grpSp>
        <xdr:nvGrpSpPr>
          <xdr:cNvPr id="7274" name="Group 7273">
            <a:extLst>
              <a:ext uri="{FF2B5EF4-FFF2-40B4-BE49-F238E27FC236}">
                <a16:creationId xmlns:a16="http://schemas.microsoft.com/office/drawing/2014/main" id="{00000000-0008-0000-0100-00006A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76" name="Rectangle 7275">
              <a:extLst>
                <a:ext uri="{FF2B5EF4-FFF2-40B4-BE49-F238E27FC236}">
                  <a16:creationId xmlns:a16="http://schemas.microsoft.com/office/drawing/2014/main" id="{00000000-0008-0000-0100-00006C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277" name="Rectangle 7276">
              <a:extLst>
                <a:ext uri="{FF2B5EF4-FFF2-40B4-BE49-F238E27FC236}">
                  <a16:creationId xmlns:a16="http://schemas.microsoft.com/office/drawing/2014/main" id="{00000000-0008-0000-0100-00006D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78" name="Block Arc 7277">
              <a:extLst>
                <a:ext uri="{FF2B5EF4-FFF2-40B4-BE49-F238E27FC236}">
                  <a16:creationId xmlns:a16="http://schemas.microsoft.com/office/drawing/2014/main" id="{00000000-0008-0000-0100-00006E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79" name="Flowchart: Connector 7278">
              <a:extLst>
                <a:ext uri="{FF2B5EF4-FFF2-40B4-BE49-F238E27FC236}">
                  <a16:creationId xmlns:a16="http://schemas.microsoft.com/office/drawing/2014/main" id="{00000000-0008-0000-0100-00006F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75" name="Arrow: Up-Down 33">
            <a:extLst>
              <a:ext uri="{FF2B5EF4-FFF2-40B4-BE49-F238E27FC236}">
                <a16:creationId xmlns:a16="http://schemas.microsoft.com/office/drawing/2014/main" id="{00000000-0008-0000-0100-00006B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141194</xdr:colOff>
      <xdr:row>99</xdr:row>
      <xdr:rowOff>96370</xdr:rowOff>
    </xdr:from>
    <xdr:to>
      <xdr:col>10</xdr:col>
      <xdr:colOff>379085</xdr:colOff>
      <xdr:row>106</xdr:row>
      <xdr:rowOff>125007</xdr:rowOff>
    </xdr:to>
    <xdr:grpSp>
      <xdr:nvGrpSpPr>
        <xdr:cNvPr id="7280" name="Group 7279">
          <a:extLst>
            <a:ext uri="{FF2B5EF4-FFF2-40B4-BE49-F238E27FC236}">
              <a16:creationId xmlns:a16="http://schemas.microsoft.com/office/drawing/2014/main" id="{00000000-0008-0000-0100-0000701C0000}"/>
            </a:ext>
          </a:extLst>
        </xdr:cNvPr>
        <xdr:cNvGrpSpPr/>
      </xdr:nvGrpSpPr>
      <xdr:grpSpPr>
        <a:xfrm>
          <a:off x="6909547" y="17469970"/>
          <a:ext cx="1008856" cy="1220943"/>
          <a:chOff x="12609738" y="4857750"/>
          <a:chExt cx="997405" cy="1224643"/>
        </a:xfrm>
      </xdr:grpSpPr>
      <xdr:grpSp>
        <xdr:nvGrpSpPr>
          <xdr:cNvPr id="7281" name="Group 7280">
            <a:extLst>
              <a:ext uri="{FF2B5EF4-FFF2-40B4-BE49-F238E27FC236}">
                <a16:creationId xmlns:a16="http://schemas.microsoft.com/office/drawing/2014/main" id="{00000000-0008-0000-0100-000071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283" name="Rectangle 7282">
              <a:extLst>
                <a:ext uri="{FF2B5EF4-FFF2-40B4-BE49-F238E27FC236}">
                  <a16:creationId xmlns:a16="http://schemas.microsoft.com/office/drawing/2014/main" id="{00000000-0008-0000-0100-000073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84" name="Rectangle 7283">
              <a:extLst>
                <a:ext uri="{FF2B5EF4-FFF2-40B4-BE49-F238E27FC236}">
                  <a16:creationId xmlns:a16="http://schemas.microsoft.com/office/drawing/2014/main" id="{00000000-0008-0000-0100-000074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285" name="Block Arc 7284">
              <a:extLst>
                <a:ext uri="{FF2B5EF4-FFF2-40B4-BE49-F238E27FC236}">
                  <a16:creationId xmlns:a16="http://schemas.microsoft.com/office/drawing/2014/main" id="{00000000-0008-0000-0100-000075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286" name="Flowchart: Connector 7285">
              <a:extLst>
                <a:ext uri="{FF2B5EF4-FFF2-40B4-BE49-F238E27FC236}">
                  <a16:creationId xmlns:a16="http://schemas.microsoft.com/office/drawing/2014/main" id="{00000000-0008-0000-0100-000076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282" name="Arrow: Up-Down 33">
            <a:extLst>
              <a:ext uri="{FF2B5EF4-FFF2-40B4-BE49-F238E27FC236}">
                <a16:creationId xmlns:a16="http://schemas.microsoft.com/office/drawing/2014/main" id="{00000000-0008-0000-0100-000072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219636</xdr:colOff>
      <xdr:row>107</xdr:row>
      <xdr:rowOff>17929</xdr:rowOff>
    </xdr:from>
    <xdr:to>
      <xdr:col>10</xdr:col>
      <xdr:colOff>202983</xdr:colOff>
      <xdr:row>112</xdr:row>
      <xdr:rowOff>497</xdr:rowOff>
    </xdr:to>
    <xdr:grpSp>
      <xdr:nvGrpSpPr>
        <xdr:cNvPr id="7287" name="Group 7286">
          <a:extLst>
            <a:ext uri="{FF2B5EF4-FFF2-40B4-BE49-F238E27FC236}">
              <a16:creationId xmlns:a16="http://schemas.microsoft.com/office/drawing/2014/main" id="{00000000-0008-0000-0100-0000771C0000}"/>
            </a:ext>
          </a:extLst>
        </xdr:cNvPr>
        <xdr:cNvGrpSpPr/>
      </xdr:nvGrpSpPr>
      <xdr:grpSpPr>
        <a:xfrm>
          <a:off x="6987989" y="18754164"/>
          <a:ext cx="754312" cy="834215"/>
          <a:chOff x="639533" y="1809018"/>
          <a:chExt cx="688522" cy="686532"/>
        </a:xfrm>
      </xdr:grpSpPr>
      <xdr:sp macro="" textlink="">
        <xdr:nvSpPr>
          <xdr:cNvPr id="7288" name="Rectangle 7287">
            <a:extLst>
              <a:ext uri="{FF2B5EF4-FFF2-40B4-BE49-F238E27FC236}">
                <a16:creationId xmlns:a16="http://schemas.microsoft.com/office/drawing/2014/main" id="{00000000-0008-0000-0100-0000781C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</a:t>
            </a:r>
          </a:p>
        </xdr:txBody>
      </xdr:sp>
      <xdr:sp macro="" textlink="">
        <xdr:nvSpPr>
          <xdr:cNvPr id="7289" name="Block Arc 7288">
            <a:extLst>
              <a:ext uri="{FF2B5EF4-FFF2-40B4-BE49-F238E27FC236}">
                <a16:creationId xmlns:a16="http://schemas.microsoft.com/office/drawing/2014/main" id="{00000000-0008-0000-0100-0000791C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90" name="Flowchart: Connector 7289">
            <a:extLst>
              <a:ext uri="{FF2B5EF4-FFF2-40B4-BE49-F238E27FC236}">
                <a16:creationId xmlns:a16="http://schemas.microsoft.com/office/drawing/2014/main" id="{00000000-0008-0000-0100-00007A1C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311523</xdr:colOff>
      <xdr:row>151</xdr:row>
      <xdr:rowOff>80685</xdr:rowOff>
    </xdr:from>
    <xdr:to>
      <xdr:col>10</xdr:col>
      <xdr:colOff>268942</xdr:colOff>
      <xdr:row>155</xdr:row>
      <xdr:rowOff>131899</xdr:rowOff>
    </xdr:to>
    <xdr:grpSp>
      <xdr:nvGrpSpPr>
        <xdr:cNvPr id="7291" name="Group 7290">
          <a:extLst>
            <a:ext uri="{FF2B5EF4-FFF2-40B4-BE49-F238E27FC236}">
              <a16:creationId xmlns:a16="http://schemas.microsoft.com/office/drawing/2014/main" id="{00000000-0008-0000-0100-00007B1C0000}"/>
            </a:ext>
          </a:extLst>
        </xdr:cNvPr>
        <xdr:cNvGrpSpPr/>
      </xdr:nvGrpSpPr>
      <xdr:grpSpPr>
        <a:xfrm rot="10800000">
          <a:off x="7079876" y="26311414"/>
          <a:ext cx="728384" cy="732532"/>
          <a:chOff x="12366813" y="7133665"/>
          <a:chExt cx="705971" cy="698915"/>
        </a:xfrm>
      </xdr:grpSpPr>
      <xdr:sp macro="" textlink="">
        <xdr:nvSpPr>
          <xdr:cNvPr id="7292" name="Block Arc 7291">
            <a:extLst>
              <a:ext uri="{FF2B5EF4-FFF2-40B4-BE49-F238E27FC236}">
                <a16:creationId xmlns:a16="http://schemas.microsoft.com/office/drawing/2014/main" id="{00000000-0008-0000-0100-00007C1C0000}"/>
              </a:ext>
            </a:extLst>
          </xdr:cNvPr>
          <xdr:cNvSpPr/>
        </xdr:nvSpPr>
        <xdr:spPr>
          <a:xfrm rot="185606">
            <a:off x="12368101" y="713366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93" name="Rectangle 7292">
            <a:extLst>
              <a:ext uri="{FF2B5EF4-FFF2-40B4-BE49-F238E27FC236}">
                <a16:creationId xmlns:a16="http://schemas.microsoft.com/office/drawing/2014/main" id="{00000000-0008-0000-0100-00007D1C0000}"/>
              </a:ext>
            </a:extLst>
          </xdr:cNvPr>
          <xdr:cNvSpPr/>
        </xdr:nvSpPr>
        <xdr:spPr>
          <a:xfrm>
            <a:off x="12366813" y="7462785"/>
            <a:ext cx="705971" cy="36979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>
                <a:solidFill>
                  <a:schemeClr val="tx1"/>
                </a:solidFill>
              </a:rPr>
              <a:t>HELPING TABLE</a:t>
            </a:r>
          </a:p>
        </xdr:txBody>
      </xdr:sp>
      <xdr:sp macro="" textlink="">
        <xdr:nvSpPr>
          <xdr:cNvPr id="7294" name="Flowchart: Connector 7293">
            <a:extLst>
              <a:ext uri="{FF2B5EF4-FFF2-40B4-BE49-F238E27FC236}">
                <a16:creationId xmlns:a16="http://schemas.microsoft.com/office/drawing/2014/main" id="{00000000-0008-0000-0100-00007E1C0000}"/>
              </a:ext>
            </a:extLst>
          </xdr:cNvPr>
          <xdr:cNvSpPr/>
        </xdr:nvSpPr>
        <xdr:spPr>
          <a:xfrm>
            <a:off x="12552196" y="7183045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268941</xdr:colOff>
      <xdr:row>112</xdr:row>
      <xdr:rowOff>33618</xdr:rowOff>
    </xdr:from>
    <xdr:to>
      <xdr:col>10</xdr:col>
      <xdr:colOff>212911</xdr:colOff>
      <xdr:row>116</xdr:row>
      <xdr:rowOff>60180</xdr:rowOff>
    </xdr:to>
    <xdr:grpSp>
      <xdr:nvGrpSpPr>
        <xdr:cNvPr id="7295" name="Group 7294">
          <a:extLst>
            <a:ext uri="{FF2B5EF4-FFF2-40B4-BE49-F238E27FC236}">
              <a16:creationId xmlns:a16="http://schemas.microsoft.com/office/drawing/2014/main" id="{00000000-0008-0000-0100-00007F1C0000}"/>
            </a:ext>
          </a:extLst>
        </xdr:cNvPr>
        <xdr:cNvGrpSpPr/>
      </xdr:nvGrpSpPr>
      <xdr:grpSpPr>
        <a:xfrm>
          <a:off x="7037294" y="19621500"/>
          <a:ext cx="714935" cy="707880"/>
          <a:chOff x="11373971" y="7160558"/>
          <a:chExt cx="705971" cy="698915"/>
        </a:xfrm>
      </xdr:grpSpPr>
      <xdr:sp macro="" textlink="">
        <xdr:nvSpPr>
          <xdr:cNvPr id="7296" name="Block Arc 7295">
            <a:extLst>
              <a:ext uri="{FF2B5EF4-FFF2-40B4-BE49-F238E27FC236}">
                <a16:creationId xmlns:a16="http://schemas.microsoft.com/office/drawing/2014/main" id="{00000000-0008-0000-0100-0000801C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297" name="Rectangle 7296">
            <a:extLst>
              <a:ext uri="{FF2B5EF4-FFF2-40B4-BE49-F238E27FC236}">
                <a16:creationId xmlns:a16="http://schemas.microsoft.com/office/drawing/2014/main" id="{00000000-0008-0000-0100-0000811C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/>
              <a:t>IRON TABLE</a:t>
            </a:r>
          </a:p>
        </xdr:txBody>
      </xdr:sp>
      <xdr:sp macro="" textlink="">
        <xdr:nvSpPr>
          <xdr:cNvPr id="7298" name="Flowchart: Connector 7297">
            <a:extLst>
              <a:ext uri="{FF2B5EF4-FFF2-40B4-BE49-F238E27FC236}">
                <a16:creationId xmlns:a16="http://schemas.microsoft.com/office/drawing/2014/main" id="{00000000-0008-0000-0100-0000821C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372036</xdr:colOff>
      <xdr:row>109</xdr:row>
      <xdr:rowOff>13446</xdr:rowOff>
    </xdr:from>
    <xdr:to>
      <xdr:col>14</xdr:col>
      <xdr:colOff>228927</xdr:colOff>
      <xdr:row>116</xdr:row>
      <xdr:rowOff>42082</xdr:rowOff>
    </xdr:to>
    <xdr:grpSp>
      <xdr:nvGrpSpPr>
        <xdr:cNvPr id="7299" name="Group 7298">
          <a:extLst>
            <a:ext uri="{FF2B5EF4-FFF2-40B4-BE49-F238E27FC236}">
              <a16:creationId xmlns:a16="http://schemas.microsoft.com/office/drawing/2014/main" id="{00000000-0008-0000-0100-0000831C0000}"/>
            </a:ext>
          </a:extLst>
        </xdr:cNvPr>
        <xdr:cNvGrpSpPr/>
      </xdr:nvGrpSpPr>
      <xdr:grpSpPr>
        <a:xfrm>
          <a:off x="8296836" y="19090340"/>
          <a:ext cx="952378" cy="1220942"/>
          <a:chOff x="12609738" y="4857750"/>
          <a:chExt cx="997405" cy="1224643"/>
        </a:xfrm>
      </xdr:grpSpPr>
      <xdr:grpSp>
        <xdr:nvGrpSpPr>
          <xdr:cNvPr id="7300" name="Group 7299">
            <a:extLst>
              <a:ext uri="{FF2B5EF4-FFF2-40B4-BE49-F238E27FC236}">
                <a16:creationId xmlns:a16="http://schemas.microsoft.com/office/drawing/2014/main" id="{00000000-0008-0000-0100-000084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02" name="Rectangle 7301">
              <a:extLst>
                <a:ext uri="{FF2B5EF4-FFF2-40B4-BE49-F238E27FC236}">
                  <a16:creationId xmlns:a16="http://schemas.microsoft.com/office/drawing/2014/main" id="{00000000-0008-0000-0100-000086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3OL</a:t>
              </a:r>
            </a:p>
          </xdr:txBody>
        </xdr:sp>
        <xdr:sp macro="" textlink="">
          <xdr:nvSpPr>
            <xdr:cNvPr id="7303" name="Rectangle 7302">
              <a:extLst>
                <a:ext uri="{FF2B5EF4-FFF2-40B4-BE49-F238E27FC236}">
                  <a16:creationId xmlns:a16="http://schemas.microsoft.com/office/drawing/2014/main" id="{00000000-0008-0000-0100-000087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304" name="Block Arc 7303">
              <a:extLst>
                <a:ext uri="{FF2B5EF4-FFF2-40B4-BE49-F238E27FC236}">
                  <a16:creationId xmlns:a16="http://schemas.microsoft.com/office/drawing/2014/main" id="{00000000-0008-0000-0100-000088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05" name="Flowchart: Connector 7304">
              <a:extLst>
                <a:ext uri="{FF2B5EF4-FFF2-40B4-BE49-F238E27FC236}">
                  <a16:creationId xmlns:a16="http://schemas.microsoft.com/office/drawing/2014/main" id="{00000000-0008-0000-0100-000089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01" name="Arrow: Up-Down 33">
            <a:extLst>
              <a:ext uri="{FF2B5EF4-FFF2-40B4-BE49-F238E27FC236}">
                <a16:creationId xmlns:a16="http://schemas.microsoft.com/office/drawing/2014/main" id="{00000000-0008-0000-0100-000085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6724</xdr:colOff>
      <xdr:row>116</xdr:row>
      <xdr:rowOff>127747</xdr:rowOff>
    </xdr:from>
    <xdr:to>
      <xdr:col>14</xdr:col>
      <xdr:colOff>244615</xdr:colOff>
      <xdr:row>123</xdr:row>
      <xdr:rowOff>156384</xdr:rowOff>
    </xdr:to>
    <xdr:grpSp>
      <xdr:nvGrpSpPr>
        <xdr:cNvPr id="7306" name="Group 7305">
          <a:extLst>
            <a:ext uri="{FF2B5EF4-FFF2-40B4-BE49-F238E27FC236}">
              <a16:creationId xmlns:a16="http://schemas.microsoft.com/office/drawing/2014/main" id="{00000000-0008-0000-0100-00008A1C0000}"/>
            </a:ext>
          </a:extLst>
        </xdr:cNvPr>
        <xdr:cNvGrpSpPr/>
      </xdr:nvGrpSpPr>
      <xdr:grpSpPr>
        <a:xfrm>
          <a:off x="8317006" y="20396947"/>
          <a:ext cx="932656" cy="1220943"/>
          <a:chOff x="12609738" y="4857750"/>
          <a:chExt cx="997405" cy="1224643"/>
        </a:xfrm>
      </xdr:grpSpPr>
      <xdr:grpSp>
        <xdr:nvGrpSpPr>
          <xdr:cNvPr id="7307" name="Group 7306">
            <a:extLst>
              <a:ext uri="{FF2B5EF4-FFF2-40B4-BE49-F238E27FC236}">
                <a16:creationId xmlns:a16="http://schemas.microsoft.com/office/drawing/2014/main" id="{00000000-0008-0000-0100-00008B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09" name="Rectangle 7308">
              <a:extLst>
                <a:ext uri="{FF2B5EF4-FFF2-40B4-BE49-F238E27FC236}">
                  <a16:creationId xmlns:a16="http://schemas.microsoft.com/office/drawing/2014/main" id="{00000000-0008-0000-0100-00008D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</a:t>
              </a:r>
            </a:p>
          </xdr:txBody>
        </xdr:sp>
        <xdr:sp macro="" textlink="">
          <xdr:nvSpPr>
            <xdr:cNvPr id="7310" name="Rectangle 7309">
              <a:extLst>
                <a:ext uri="{FF2B5EF4-FFF2-40B4-BE49-F238E27FC236}">
                  <a16:creationId xmlns:a16="http://schemas.microsoft.com/office/drawing/2014/main" id="{00000000-0008-0000-0100-00008E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DNMNL</a:t>
              </a:r>
            </a:p>
          </xdr:txBody>
        </xdr:sp>
        <xdr:sp macro="" textlink="">
          <xdr:nvSpPr>
            <xdr:cNvPr id="7311" name="Block Arc 7310">
              <a:extLst>
                <a:ext uri="{FF2B5EF4-FFF2-40B4-BE49-F238E27FC236}">
                  <a16:creationId xmlns:a16="http://schemas.microsoft.com/office/drawing/2014/main" id="{00000000-0008-0000-0100-00008F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12" name="Flowchart: Connector 7311">
              <a:extLst>
                <a:ext uri="{FF2B5EF4-FFF2-40B4-BE49-F238E27FC236}">
                  <a16:creationId xmlns:a16="http://schemas.microsoft.com/office/drawing/2014/main" id="{00000000-0008-0000-0100-000090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08" name="Arrow: Up-Down 33">
            <a:extLst>
              <a:ext uri="{FF2B5EF4-FFF2-40B4-BE49-F238E27FC236}">
                <a16:creationId xmlns:a16="http://schemas.microsoft.com/office/drawing/2014/main" id="{00000000-0008-0000-0100-00008C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71718</xdr:colOff>
      <xdr:row>124</xdr:row>
      <xdr:rowOff>26893</xdr:rowOff>
    </xdr:from>
    <xdr:to>
      <xdr:col>14</xdr:col>
      <xdr:colOff>309609</xdr:colOff>
      <xdr:row>131</xdr:row>
      <xdr:rowOff>55530</xdr:rowOff>
    </xdr:to>
    <xdr:grpSp>
      <xdr:nvGrpSpPr>
        <xdr:cNvPr id="7313" name="Group 7312">
          <a:extLst>
            <a:ext uri="{FF2B5EF4-FFF2-40B4-BE49-F238E27FC236}">
              <a16:creationId xmlns:a16="http://schemas.microsoft.com/office/drawing/2014/main" id="{00000000-0008-0000-0100-0000911C0000}"/>
            </a:ext>
          </a:extLst>
        </xdr:cNvPr>
        <xdr:cNvGrpSpPr/>
      </xdr:nvGrpSpPr>
      <xdr:grpSpPr>
        <a:xfrm>
          <a:off x="8382000" y="21658728"/>
          <a:ext cx="864076" cy="1220943"/>
          <a:chOff x="12609738" y="4857750"/>
          <a:chExt cx="997405" cy="1224643"/>
        </a:xfrm>
      </xdr:grpSpPr>
      <xdr:grpSp>
        <xdr:nvGrpSpPr>
          <xdr:cNvPr id="7314" name="Group 7313">
            <a:extLst>
              <a:ext uri="{FF2B5EF4-FFF2-40B4-BE49-F238E27FC236}">
                <a16:creationId xmlns:a16="http://schemas.microsoft.com/office/drawing/2014/main" id="{00000000-0008-0000-0100-000092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16" name="Rectangle 7315">
              <a:extLst>
                <a:ext uri="{FF2B5EF4-FFF2-40B4-BE49-F238E27FC236}">
                  <a16:creationId xmlns:a16="http://schemas.microsoft.com/office/drawing/2014/main" id="{00000000-0008-0000-0100-000094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317" name="Rectangle 7316">
              <a:extLst>
                <a:ext uri="{FF2B5EF4-FFF2-40B4-BE49-F238E27FC236}">
                  <a16:creationId xmlns:a16="http://schemas.microsoft.com/office/drawing/2014/main" id="{00000000-0008-0000-0100-000095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318" name="Block Arc 7317">
              <a:extLst>
                <a:ext uri="{FF2B5EF4-FFF2-40B4-BE49-F238E27FC236}">
                  <a16:creationId xmlns:a16="http://schemas.microsoft.com/office/drawing/2014/main" id="{00000000-0008-0000-0100-000096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19" name="Flowchart: Connector 7318">
              <a:extLst>
                <a:ext uri="{FF2B5EF4-FFF2-40B4-BE49-F238E27FC236}">
                  <a16:creationId xmlns:a16="http://schemas.microsoft.com/office/drawing/2014/main" id="{00000000-0008-0000-0100-000097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15" name="Arrow: Up-Down 33">
            <a:extLst>
              <a:ext uri="{FF2B5EF4-FFF2-40B4-BE49-F238E27FC236}">
                <a16:creationId xmlns:a16="http://schemas.microsoft.com/office/drawing/2014/main" id="{00000000-0008-0000-0100-000093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56030</xdr:colOff>
      <xdr:row>131</xdr:row>
      <xdr:rowOff>78440</xdr:rowOff>
    </xdr:from>
    <xdr:to>
      <xdr:col>14</xdr:col>
      <xdr:colOff>293921</xdr:colOff>
      <xdr:row>138</xdr:row>
      <xdr:rowOff>107076</xdr:rowOff>
    </xdr:to>
    <xdr:grpSp>
      <xdr:nvGrpSpPr>
        <xdr:cNvPr id="7320" name="Group 7319">
          <a:extLst>
            <a:ext uri="{FF2B5EF4-FFF2-40B4-BE49-F238E27FC236}">
              <a16:creationId xmlns:a16="http://schemas.microsoft.com/office/drawing/2014/main" id="{00000000-0008-0000-0100-0000981C0000}"/>
            </a:ext>
          </a:extLst>
        </xdr:cNvPr>
        <xdr:cNvGrpSpPr/>
      </xdr:nvGrpSpPr>
      <xdr:grpSpPr>
        <a:xfrm>
          <a:off x="8366312" y="22902581"/>
          <a:ext cx="879316" cy="1220942"/>
          <a:chOff x="12609738" y="4857750"/>
          <a:chExt cx="997405" cy="1224643"/>
        </a:xfrm>
      </xdr:grpSpPr>
      <xdr:grpSp>
        <xdr:nvGrpSpPr>
          <xdr:cNvPr id="7321" name="Group 7320">
            <a:extLst>
              <a:ext uri="{FF2B5EF4-FFF2-40B4-BE49-F238E27FC236}">
                <a16:creationId xmlns:a16="http://schemas.microsoft.com/office/drawing/2014/main" id="{00000000-0008-0000-0100-000099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23" name="Rectangle 7322">
              <a:extLst>
                <a:ext uri="{FF2B5EF4-FFF2-40B4-BE49-F238E27FC236}">
                  <a16:creationId xmlns:a16="http://schemas.microsoft.com/office/drawing/2014/main" id="{00000000-0008-0000-0100-00009B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PS</a:t>
              </a:r>
            </a:p>
          </xdr:txBody>
        </xdr:sp>
        <xdr:sp macro="" textlink="">
          <xdr:nvSpPr>
            <xdr:cNvPr id="7324" name="Rectangle 7323">
              <a:extLst>
                <a:ext uri="{FF2B5EF4-FFF2-40B4-BE49-F238E27FC236}">
                  <a16:creationId xmlns:a16="http://schemas.microsoft.com/office/drawing/2014/main" id="{00000000-0008-0000-0100-00009C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SNEC</a:t>
              </a:r>
            </a:p>
          </xdr:txBody>
        </xdr:sp>
        <xdr:sp macro="" textlink="">
          <xdr:nvSpPr>
            <xdr:cNvPr id="7325" name="Block Arc 7324">
              <a:extLst>
                <a:ext uri="{FF2B5EF4-FFF2-40B4-BE49-F238E27FC236}">
                  <a16:creationId xmlns:a16="http://schemas.microsoft.com/office/drawing/2014/main" id="{00000000-0008-0000-0100-00009D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26" name="Flowchart: Connector 7325">
              <a:extLst>
                <a:ext uri="{FF2B5EF4-FFF2-40B4-BE49-F238E27FC236}">
                  <a16:creationId xmlns:a16="http://schemas.microsoft.com/office/drawing/2014/main" id="{00000000-0008-0000-0100-00009E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22" name="Arrow: Up-Down 33">
            <a:extLst>
              <a:ext uri="{FF2B5EF4-FFF2-40B4-BE49-F238E27FC236}">
                <a16:creationId xmlns:a16="http://schemas.microsoft.com/office/drawing/2014/main" id="{00000000-0008-0000-0100-00009A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85165</xdr:colOff>
      <xdr:row>139</xdr:row>
      <xdr:rowOff>6724</xdr:rowOff>
    </xdr:from>
    <xdr:to>
      <xdr:col>14</xdr:col>
      <xdr:colOff>29135</xdr:colOff>
      <xdr:row>143</xdr:row>
      <xdr:rowOff>33286</xdr:rowOff>
    </xdr:to>
    <xdr:grpSp>
      <xdr:nvGrpSpPr>
        <xdr:cNvPr id="7327" name="Group 7326">
          <a:extLst>
            <a:ext uri="{FF2B5EF4-FFF2-40B4-BE49-F238E27FC236}">
              <a16:creationId xmlns:a16="http://schemas.microsoft.com/office/drawing/2014/main" id="{00000000-0008-0000-0100-00009F1C0000}"/>
            </a:ext>
          </a:extLst>
        </xdr:cNvPr>
        <xdr:cNvGrpSpPr/>
      </xdr:nvGrpSpPr>
      <xdr:grpSpPr>
        <a:xfrm>
          <a:off x="8395447" y="24193500"/>
          <a:ext cx="714935" cy="707880"/>
          <a:chOff x="11373971" y="7160558"/>
          <a:chExt cx="705971" cy="698915"/>
        </a:xfrm>
      </xdr:grpSpPr>
      <xdr:sp macro="" textlink="">
        <xdr:nvSpPr>
          <xdr:cNvPr id="7328" name="Block Arc 7327">
            <a:extLst>
              <a:ext uri="{FF2B5EF4-FFF2-40B4-BE49-F238E27FC236}">
                <a16:creationId xmlns:a16="http://schemas.microsoft.com/office/drawing/2014/main" id="{00000000-0008-0000-0100-0000A01C0000}"/>
              </a:ext>
            </a:extLst>
          </xdr:cNvPr>
          <xdr:cNvSpPr/>
        </xdr:nvSpPr>
        <xdr:spPr>
          <a:xfrm rot="10985606">
            <a:off x="11407589" y="7194175"/>
            <a:ext cx="671065" cy="665298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329" name="Rectangle 7328">
            <a:extLst>
              <a:ext uri="{FF2B5EF4-FFF2-40B4-BE49-F238E27FC236}">
                <a16:creationId xmlns:a16="http://schemas.microsoft.com/office/drawing/2014/main" id="{00000000-0008-0000-0100-0000A11C0000}"/>
              </a:ext>
            </a:extLst>
          </xdr:cNvPr>
          <xdr:cNvSpPr/>
        </xdr:nvSpPr>
        <xdr:spPr>
          <a:xfrm>
            <a:off x="11373971" y="7160558"/>
            <a:ext cx="705971" cy="369795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 b="1"/>
              <a:t>IRON TABLE</a:t>
            </a:r>
          </a:p>
        </xdr:txBody>
      </xdr:sp>
      <xdr:sp macro="" textlink="">
        <xdr:nvSpPr>
          <xdr:cNvPr id="7330" name="Flowchart: Connector 7329">
            <a:extLst>
              <a:ext uri="{FF2B5EF4-FFF2-40B4-BE49-F238E27FC236}">
                <a16:creationId xmlns:a16="http://schemas.microsoft.com/office/drawing/2014/main" id="{00000000-0008-0000-0100-0000A21C0000}"/>
              </a:ext>
            </a:extLst>
          </xdr:cNvPr>
          <xdr:cNvSpPr/>
        </xdr:nvSpPr>
        <xdr:spPr>
          <a:xfrm rot="10800000">
            <a:off x="11575676" y="7507940"/>
            <a:ext cx="318883" cy="302153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150151</xdr:colOff>
      <xdr:row>117</xdr:row>
      <xdr:rowOff>31713</xdr:rowOff>
    </xdr:from>
    <xdr:to>
      <xdr:col>11</xdr:col>
      <xdr:colOff>69794</xdr:colOff>
      <xdr:row>124</xdr:row>
      <xdr:rowOff>41360</xdr:rowOff>
    </xdr:to>
    <xdr:grpSp>
      <xdr:nvGrpSpPr>
        <xdr:cNvPr id="7331" name="Group 7330">
          <a:extLst>
            <a:ext uri="{FF2B5EF4-FFF2-40B4-BE49-F238E27FC236}">
              <a16:creationId xmlns:a16="http://schemas.microsoft.com/office/drawing/2014/main" id="{00000000-0008-0000-0100-0000A31C0000}"/>
            </a:ext>
          </a:extLst>
        </xdr:cNvPr>
        <xdr:cNvGrpSpPr/>
      </xdr:nvGrpSpPr>
      <xdr:grpSpPr>
        <a:xfrm>
          <a:off x="6918504" y="20471242"/>
          <a:ext cx="1076090" cy="1201953"/>
          <a:chOff x="12609738" y="4876070"/>
          <a:chExt cx="1059171" cy="1205595"/>
        </a:xfrm>
      </xdr:grpSpPr>
      <xdr:grpSp>
        <xdr:nvGrpSpPr>
          <xdr:cNvPr id="7332" name="Group 7331">
            <a:extLst>
              <a:ext uri="{FF2B5EF4-FFF2-40B4-BE49-F238E27FC236}">
                <a16:creationId xmlns:a16="http://schemas.microsoft.com/office/drawing/2014/main" id="{00000000-0008-0000-0100-0000A4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34" name="Rectangle 7333">
              <a:extLst>
                <a:ext uri="{FF2B5EF4-FFF2-40B4-BE49-F238E27FC236}">
                  <a16:creationId xmlns:a16="http://schemas.microsoft.com/office/drawing/2014/main" id="{00000000-0008-0000-0100-0000A6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DN</a:t>
              </a:r>
            </a:p>
          </xdr:txBody>
        </xdr:sp>
        <xdr:sp macro="" textlink="">
          <xdr:nvSpPr>
            <xdr:cNvPr id="7335" name="Rectangle 7334">
              <a:extLst>
                <a:ext uri="{FF2B5EF4-FFF2-40B4-BE49-F238E27FC236}">
                  <a16:creationId xmlns:a16="http://schemas.microsoft.com/office/drawing/2014/main" id="{00000000-0008-0000-0100-0000A7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SNJ</a:t>
              </a:r>
            </a:p>
          </xdr:txBody>
        </xdr:sp>
        <xdr:sp macro="" textlink="">
          <xdr:nvSpPr>
            <xdr:cNvPr id="7336" name="Block Arc 7335">
              <a:extLst>
                <a:ext uri="{FF2B5EF4-FFF2-40B4-BE49-F238E27FC236}">
                  <a16:creationId xmlns:a16="http://schemas.microsoft.com/office/drawing/2014/main" id="{00000000-0008-0000-0100-0000A8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37" name="Flowchart: Connector 7336">
              <a:extLst>
                <a:ext uri="{FF2B5EF4-FFF2-40B4-BE49-F238E27FC236}">
                  <a16:creationId xmlns:a16="http://schemas.microsoft.com/office/drawing/2014/main" id="{00000000-0008-0000-0100-0000A9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33" name="Arrow: Up-Down 33">
            <a:extLst>
              <a:ext uri="{FF2B5EF4-FFF2-40B4-BE49-F238E27FC236}">
                <a16:creationId xmlns:a16="http://schemas.microsoft.com/office/drawing/2014/main" id="{00000000-0008-0000-0100-0000A51C0000}"/>
              </a:ext>
            </a:extLst>
          </xdr:cNvPr>
          <xdr:cNvSpPr/>
        </xdr:nvSpPr>
        <xdr:spPr>
          <a:xfrm>
            <a:off x="13369551" y="4988132"/>
            <a:ext cx="299358" cy="1067285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226359</xdr:colOff>
      <xdr:row>124</xdr:row>
      <xdr:rowOff>47064</xdr:rowOff>
    </xdr:from>
    <xdr:to>
      <xdr:col>10</xdr:col>
      <xdr:colOff>209706</xdr:colOff>
      <xdr:row>129</xdr:row>
      <xdr:rowOff>29632</xdr:rowOff>
    </xdr:to>
    <xdr:grpSp>
      <xdr:nvGrpSpPr>
        <xdr:cNvPr id="7338" name="Group 7337">
          <a:extLst>
            <a:ext uri="{FF2B5EF4-FFF2-40B4-BE49-F238E27FC236}">
              <a16:creationId xmlns:a16="http://schemas.microsoft.com/office/drawing/2014/main" id="{00000000-0008-0000-0100-0000AA1C0000}"/>
            </a:ext>
          </a:extLst>
        </xdr:cNvPr>
        <xdr:cNvGrpSpPr/>
      </xdr:nvGrpSpPr>
      <xdr:grpSpPr>
        <a:xfrm>
          <a:off x="6994712" y="21678899"/>
          <a:ext cx="754312" cy="834215"/>
          <a:chOff x="639533" y="1809018"/>
          <a:chExt cx="688522" cy="686532"/>
        </a:xfrm>
      </xdr:grpSpPr>
      <xdr:sp macro="" textlink="">
        <xdr:nvSpPr>
          <xdr:cNvPr id="7339" name="Rectangle 7338">
            <a:extLst>
              <a:ext uri="{FF2B5EF4-FFF2-40B4-BE49-F238E27FC236}">
                <a16:creationId xmlns:a16="http://schemas.microsoft.com/office/drawing/2014/main" id="{00000000-0008-0000-0100-0000AB1C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</a:t>
            </a:r>
          </a:p>
        </xdr:txBody>
      </xdr:sp>
      <xdr:sp macro="" textlink="">
        <xdr:nvSpPr>
          <xdr:cNvPr id="7340" name="Block Arc 7339">
            <a:extLst>
              <a:ext uri="{FF2B5EF4-FFF2-40B4-BE49-F238E27FC236}">
                <a16:creationId xmlns:a16="http://schemas.microsoft.com/office/drawing/2014/main" id="{00000000-0008-0000-0100-0000AC1C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341" name="Flowchart: Connector 7340">
            <a:extLst>
              <a:ext uri="{FF2B5EF4-FFF2-40B4-BE49-F238E27FC236}">
                <a16:creationId xmlns:a16="http://schemas.microsoft.com/office/drawing/2014/main" id="{00000000-0008-0000-0100-0000AD1C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233083</xdr:colOff>
      <xdr:row>129</xdr:row>
      <xdr:rowOff>121023</xdr:rowOff>
    </xdr:from>
    <xdr:to>
      <xdr:col>10</xdr:col>
      <xdr:colOff>216430</xdr:colOff>
      <xdr:row>134</xdr:row>
      <xdr:rowOff>103591</xdr:rowOff>
    </xdr:to>
    <xdr:grpSp>
      <xdr:nvGrpSpPr>
        <xdr:cNvPr id="7342" name="Group 7341">
          <a:extLst>
            <a:ext uri="{FF2B5EF4-FFF2-40B4-BE49-F238E27FC236}">
              <a16:creationId xmlns:a16="http://schemas.microsoft.com/office/drawing/2014/main" id="{00000000-0008-0000-0100-0000AE1C0000}"/>
            </a:ext>
          </a:extLst>
        </xdr:cNvPr>
        <xdr:cNvGrpSpPr/>
      </xdr:nvGrpSpPr>
      <xdr:grpSpPr>
        <a:xfrm>
          <a:off x="7001436" y="22604505"/>
          <a:ext cx="754312" cy="834215"/>
          <a:chOff x="639533" y="1809018"/>
          <a:chExt cx="688522" cy="686532"/>
        </a:xfrm>
      </xdr:grpSpPr>
      <xdr:sp macro="" textlink="">
        <xdr:nvSpPr>
          <xdr:cNvPr id="7343" name="Rectangle 7342">
            <a:extLst>
              <a:ext uri="{FF2B5EF4-FFF2-40B4-BE49-F238E27FC236}">
                <a16:creationId xmlns:a16="http://schemas.microsoft.com/office/drawing/2014/main" id="{00000000-0008-0000-0100-0000AF1C0000}"/>
              </a:ext>
            </a:extLst>
          </xdr:cNvPr>
          <xdr:cNvSpPr/>
        </xdr:nvSpPr>
        <xdr:spPr>
          <a:xfrm>
            <a:off x="639533" y="1809018"/>
            <a:ext cx="688522" cy="32514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SNEC</a:t>
            </a:r>
          </a:p>
        </xdr:txBody>
      </xdr:sp>
      <xdr:sp macro="" textlink="">
        <xdr:nvSpPr>
          <xdr:cNvPr id="7344" name="Block Arc 7343">
            <a:extLst>
              <a:ext uri="{FF2B5EF4-FFF2-40B4-BE49-F238E27FC236}">
                <a16:creationId xmlns:a16="http://schemas.microsoft.com/office/drawing/2014/main" id="{00000000-0008-0000-0100-0000B01C0000}"/>
              </a:ext>
            </a:extLst>
          </xdr:cNvPr>
          <xdr:cNvSpPr/>
        </xdr:nvSpPr>
        <xdr:spPr>
          <a:xfrm rot="10800000">
            <a:off x="649098" y="1818580"/>
            <a:ext cx="669395" cy="669403"/>
          </a:xfrm>
          <a:prstGeom prst="blockArc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345" name="Flowchart: Connector 7344">
            <a:extLst>
              <a:ext uri="{FF2B5EF4-FFF2-40B4-BE49-F238E27FC236}">
                <a16:creationId xmlns:a16="http://schemas.microsoft.com/office/drawing/2014/main" id="{00000000-0008-0000-0100-0000B11C0000}"/>
              </a:ext>
            </a:extLst>
          </xdr:cNvPr>
          <xdr:cNvSpPr/>
        </xdr:nvSpPr>
        <xdr:spPr>
          <a:xfrm rot="10800000">
            <a:off x="821228" y="2191533"/>
            <a:ext cx="318090" cy="304017"/>
          </a:xfrm>
          <a:prstGeom prst="flowChartConnector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248772</xdr:colOff>
      <xdr:row>135</xdr:row>
      <xdr:rowOff>121022</xdr:rowOff>
    </xdr:from>
    <xdr:to>
      <xdr:col>11</xdr:col>
      <xdr:colOff>101180</xdr:colOff>
      <xdr:row>142</xdr:row>
      <xdr:rowOff>149658</xdr:rowOff>
    </xdr:to>
    <xdr:grpSp>
      <xdr:nvGrpSpPr>
        <xdr:cNvPr id="7346" name="Group 7345">
          <a:extLst>
            <a:ext uri="{FF2B5EF4-FFF2-40B4-BE49-F238E27FC236}">
              <a16:creationId xmlns:a16="http://schemas.microsoft.com/office/drawing/2014/main" id="{00000000-0008-0000-0100-0000B21C0000}"/>
            </a:ext>
          </a:extLst>
        </xdr:cNvPr>
        <xdr:cNvGrpSpPr/>
      </xdr:nvGrpSpPr>
      <xdr:grpSpPr>
        <a:xfrm>
          <a:off x="7017125" y="23626481"/>
          <a:ext cx="1008855" cy="1220942"/>
          <a:chOff x="12609738" y="4857750"/>
          <a:chExt cx="997405" cy="1224643"/>
        </a:xfrm>
      </xdr:grpSpPr>
      <xdr:grpSp>
        <xdr:nvGrpSpPr>
          <xdr:cNvPr id="7347" name="Group 7346">
            <a:extLst>
              <a:ext uri="{FF2B5EF4-FFF2-40B4-BE49-F238E27FC236}">
                <a16:creationId xmlns:a16="http://schemas.microsoft.com/office/drawing/2014/main" id="{00000000-0008-0000-0100-0000B31C0000}"/>
              </a:ext>
            </a:extLst>
          </xdr:cNvPr>
          <xdr:cNvGrpSpPr/>
        </xdr:nvGrpSpPr>
        <xdr:grpSpPr>
          <a:xfrm>
            <a:off x="12609738" y="4876070"/>
            <a:ext cx="688522" cy="1205595"/>
            <a:chOff x="2476499" y="544914"/>
            <a:chExt cx="685801" cy="1200152"/>
          </a:xfrm>
        </xdr:grpSpPr>
        <xdr:sp macro="" textlink="">
          <xdr:nvSpPr>
            <xdr:cNvPr id="7349" name="Rectangle 7348">
              <a:extLst>
                <a:ext uri="{FF2B5EF4-FFF2-40B4-BE49-F238E27FC236}">
                  <a16:creationId xmlns:a16="http://schemas.microsoft.com/office/drawing/2014/main" id="{00000000-0008-0000-0100-0000B51C0000}"/>
                </a:ext>
              </a:extLst>
            </xdr:cNvPr>
            <xdr:cNvSpPr/>
          </xdr:nvSpPr>
          <xdr:spPr>
            <a:xfrm>
              <a:off x="2476499" y="1343026"/>
              <a:ext cx="685801" cy="40204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HELTB</a:t>
              </a:r>
            </a:p>
          </xdr:txBody>
        </xdr:sp>
        <xdr:sp macro="" textlink="">
          <xdr:nvSpPr>
            <xdr:cNvPr id="7350" name="Rectangle 7349">
              <a:extLst>
                <a:ext uri="{FF2B5EF4-FFF2-40B4-BE49-F238E27FC236}">
                  <a16:creationId xmlns:a16="http://schemas.microsoft.com/office/drawing/2014/main" id="{00000000-0008-0000-0100-0000B61C0000}"/>
                </a:ext>
              </a:extLst>
            </xdr:cNvPr>
            <xdr:cNvSpPr/>
          </xdr:nvSpPr>
          <xdr:spPr>
            <a:xfrm>
              <a:off x="2476499" y="544914"/>
              <a:ext cx="685801" cy="40758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>
                  <a:shade val="1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tx1"/>
                  </a:solidFill>
                </a:rPr>
                <a:t>HS</a:t>
              </a:r>
            </a:p>
          </xdr:txBody>
        </xdr:sp>
        <xdr:sp macro="" textlink="">
          <xdr:nvSpPr>
            <xdr:cNvPr id="7351" name="Block Arc 7350">
              <a:extLst>
                <a:ext uri="{FF2B5EF4-FFF2-40B4-BE49-F238E27FC236}">
                  <a16:creationId xmlns:a16="http://schemas.microsoft.com/office/drawing/2014/main" id="{00000000-0008-0000-0100-0000B71C0000}"/>
                </a:ext>
              </a:extLst>
            </xdr:cNvPr>
            <xdr:cNvSpPr/>
          </xdr:nvSpPr>
          <xdr:spPr>
            <a:xfrm>
              <a:off x="2486024" y="992588"/>
              <a:ext cx="666750" cy="666750"/>
            </a:xfrm>
            <a:prstGeom prst="blockArc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52" name="Flowchart: Connector 7351">
              <a:extLst>
                <a:ext uri="{FF2B5EF4-FFF2-40B4-BE49-F238E27FC236}">
                  <a16:creationId xmlns:a16="http://schemas.microsoft.com/office/drawing/2014/main" id="{00000000-0008-0000-0100-0000B81C0000}"/>
                </a:ext>
              </a:extLst>
            </xdr:cNvPr>
            <xdr:cNvSpPr/>
          </xdr:nvSpPr>
          <xdr:spPr>
            <a:xfrm rot="10800000">
              <a:off x="2657474" y="1011638"/>
              <a:ext cx="316833" cy="302812"/>
            </a:xfrm>
            <a:prstGeom prst="flowChartConnector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348" name="Arrow: Up-Down 33">
            <a:extLst>
              <a:ext uri="{FF2B5EF4-FFF2-40B4-BE49-F238E27FC236}">
                <a16:creationId xmlns:a16="http://schemas.microsoft.com/office/drawing/2014/main" id="{00000000-0008-0000-0100-0000B41C0000}"/>
              </a:ext>
            </a:extLst>
          </xdr:cNvPr>
          <xdr:cNvSpPr/>
        </xdr:nvSpPr>
        <xdr:spPr>
          <a:xfrm>
            <a:off x="13307785" y="4857750"/>
            <a:ext cx="299358" cy="1224643"/>
          </a:xfrm>
          <a:prstGeom prst="up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1237130</xdr:colOff>
      <xdr:row>143</xdr:row>
      <xdr:rowOff>62753</xdr:rowOff>
    </xdr:from>
    <xdr:to>
      <xdr:col>4</xdr:col>
      <xdr:colOff>1539925</xdr:colOff>
      <xdr:row>150</xdr:row>
      <xdr:rowOff>91389</xdr:rowOff>
    </xdr:to>
    <xdr:sp macro="" textlink="">
      <xdr:nvSpPr>
        <xdr:cNvPr id="6912" name="Arrow: Up-Down 33">
          <a:extLst>
            <a:ext uri="{FF2B5EF4-FFF2-40B4-BE49-F238E27FC236}">
              <a16:creationId xmlns:a16="http://schemas.microsoft.com/office/drawing/2014/main" id="{46C2C45B-ADA4-412C-B343-94DBD02FFFA0}"/>
            </a:ext>
          </a:extLst>
        </xdr:cNvPr>
        <xdr:cNvSpPr/>
      </xdr:nvSpPr>
      <xdr:spPr>
        <a:xfrm>
          <a:off x="4141695" y="38073106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1228164</xdr:colOff>
      <xdr:row>143</xdr:row>
      <xdr:rowOff>143435</xdr:rowOff>
    </xdr:from>
    <xdr:to>
      <xdr:col>19</xdr:col>
      <xdr:colOff>1530959</xdr:colOff>
      <xdr:row>151</xdr:row>
      <xdr:rowOff>1742</xdr:rowOff>
    </xdr:to>
    <xdr:sp macro="" textlink="">
      <xdr:nvSpPr>
        <xdr:cNvPr id="6913" name="Arrow: Up-Down 33">
          <a:extLst>
            <a:ext uri="{FF2B5EF4-FFF2-40B4-BE49-F238E27FC236}">
              <a16:creationId xmlns:a16="http://schemas.microsoft.com/office/drawing/2014/main" id="{00F10D4D-611C-429E-AB39-5844AFC2F0E5}"/>
            </a:ext>
          </a:extLst>
        </xdr:cNvPr>
        <xdr:cNvSpPr/>
      </xdr:nvSpPr>
      <xdr:spPr>
        <a:xfrm>
          <a:off x="12003740" y="38153788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1272989</xdr:colOff>
      <xdr:row>116</xdr:row>
      <xdr:rowOff>8964</xdr:rowOff>
    </xdr:from>
    <xdr:to>
      <xdr:col>19</xdr:col>
      <xdr:colOff>1575784</xdr:colOff>
      <xdr:row>123</xdr:row>
      <xdr:rowOff>37600</xdr:rowOff>
    </xdr:to>
    <xdr:sp macro="" textlink="">
      <xdr:nvSpPr>
        <xdr:cNvPr id="6914" name="Arrow: Up-Down 33">
          <a:extLst>
            <a:ext uri="{FF2B5EF4-FFF2-40B4-BE49-F238E27FC236}">
              <a16:creationId xmlns:a16="http://schemas.microsoft.com/office/drawing/2014/main" id="{E001E763-1B66-447A-B141-84E101C6846E}"/>
            </a:ext>
          </a:extLst>
        </xdr:cNvPr>
        <xdr:cNvSpPr/>
      </xdr:nvSpPr>
      <xdr:spPr>
        <a:xfrm>
          <a:off x="12048565" y="33420423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1290918</xdr:colOff>
      <xdr:row>116</xdr:row>
      <xdr:rowOff>44824</xdr:rowOff>
    </xdr:from>
    <xdr:to>
      <xdr:col>4</xdr:col>
      <xdr:colOff>1593713</xdr:colOff>
      <xdr:row>123</xdr:row>
      <xdr:rowOff>73460</xdr:rowOff>
    </xdr:to>
    <xdr:sp macro="" textlink="">
      <xdr:nvSpPr>
        <xdr:cNvPr id="6915" name="Arrow: Up-Down 33">
          <a:extLst>
            <a:ext uri="{FF2B5EF4-FFF2-40B4-BE49-F238E27FC236}">
              <a16:creationId xmlns:a16="http://schemas.microsoft.com/office/drawing/2014/main" id="{4F59D3FD-C16B-432D-88E3-F1A9D30D2FB2}"/>
            </a:ext>
          </a:extLst>
        </xdr:cNvPr>
        <xdr:cNvSpPr/>
      </xdr:nvSpPr>
      <xdr:spPr>
        <a:xfrm>
          <a:off x="4195483" y="33456283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1246094</xdr:colOff>
      <xdr:row>94</xdr:row>
      <xdr:rowOff>35859</xdr:rowOff>
    </xdr:from>
    <xdr:to>
      <xdr:col>4</xdr:col>
      <xdr:colOff>1548889</xdr:colOff>
      <xdr:row>107</xdr:row>
      <xdr:rowOff>154142</xdr:rowOff>
    </xdr:to>
    <xdr:sp macro="" textlink="">
      <xdr:nvSpPr>
        <xdr:cNvPr id="6916" name="Arrow: Up-Down 33">
          <a:extLst>
            <a:ext uri="{FF2B5EF4-FFF2-40B4-BE49-F238E27FC236}">
              <a16:creationId xmlns:a16="http://schemas.microsoft.com/office/drawing/2014/main" id="{726A1CA5-228B-4865-B6BA-6C0188C80DA4}"/>
            </a:ext>
          </a:extLst>
        </xdr:cNvPr>
        <xdr:cNvSpPr/>
      </xdr:nvSpPr>
      <xdr:spPr>
        <a:xfrm>
          <a:off x="4150659" y="29700071"/>
          <a:ext cx="302795" cy="233256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1389530</xdr:colOff>
      <xdr:row>79</xdr:row>
      <xdr:rowOff>62753</xdr:rowOff>
    </xdr:from>
    <xdr:to>
      <xdr:col>20</xdr:col>
      <xdr:colOff>42819</xdr:colOff>
      <xdr:row>86</xdr:row>
      <xdr:rowOff>91390</xdr:rowOff>
    </xdr:to>
    <xdr:sp macro="" textlink="">
      <xdr:nvSpPr>
        <xdr:cNvPr id="6917" name="Arrow: Up-Down 33">
          <a:extLst>
            <a:ext uri="{FF2B5EF4-FFF2-40B4-BE49-F238E27FC236}">
              <a16:creationId xmlns:a16="http://schemas.microsoft.com/office/drawing/2014/main" id="{62C71590-903A-439E-8A0F-736EF7A93DA1}"/>
            </a:ext>
          </a:extLst>
        </xdr:cNvPr>
        <xdr:cNvSpPr/>
      </xdr:nvSpPr>
      <xdr:spPr>
        <a:xfrm>
          <a:off x="12165106" y="27172024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1183341</xdr:colOff>
      <xdr:row>71</xdr:row>
      <xdr:rowOff>134471</xdr:rowOff>
    </xdr:from>
    <xdr:to>
      <xdr:col>4</xdr:col>
      <xdr:colOff>1486136</xdr:colOff>
      <xdr:row>78</xdr:row>
      <xdr:rowOff>163107</xdr:rowOff>
    </xdr:to>
    <xdr:sp macro="" textlink="">
      <xdr:nvSpPr>
        <xdr:cNvPr id="6918" name="Arrow: Up-Down 33">
          <a:extLst>
            <a:ext uri="{FF2B5EF4-FFF2-40B4-BE49-F238E27FC236}">
              <a16:creationId xmlns:a16="http://schemas.microsoft.com/office/drawing/2014/main" id="{1294BF70-47E0-4DCA-98C9-123F9331B042}"/>
            </a:ext>
          </a:extLst>
        </xdr:cNvPr>
        <xdr:cNvSpPr/>
      </xdr:nvSpPr>
      <xdr:spPr>
        <a:xfrm>
          <a:off x="4087906" y="25881106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1219200</xdr:colOff>
      <xdr:row>58</xdr:row>
      <xdr:rowOff>26895</xdr:rowOff>
    </xdr:from>
    <xdr:to>
      <xdr:col>4</xdr:col>
      <xdr:colOff>1521995</xdr:colOff>
      <xdr:row>65</xdr:row>
      <xdr:rowOff>55531</xdr:rowOff>
    </xdr:to>
    <xdr:sp macro="" textlink="">
      <xdr:nvSpPr>
        <xdr:cNvPr id="6919" name="Arrow: Up-Down 33">
          <a:extLst>
            <a:ext uri="{FF2B5EF4-FFF2-40B4-BE49-F238E27FC236}">
              <a16:creationId xmlns:a16="http://schemas.microsoft.com/office/drawing/2014/main" id="{0204A995-13B1-47CA-92EF-97D7B9A19D25}"/>
            </a:ext>
          </a:extLst>
        </xdr:cNvPr>
        <xdr:cNvSpPr/>
      </xdr:nvSpPr>
      <xdr:spPr>
        <a:xfrm>
          <a:off x="4123765" y="23559248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1317812</xdr:colOff>
      <xdr:row>36</xdr:row>
      <xdr:rowOff>71716</xdr:rowOff>
    </xdr:from>
    <xdr:to>
      <xdr:col>19</xdr:col>
      <xdr:colOff>1620607</xdr:colOff>
      <xdr:row>43</xdr:row>
      <xdr:rowOff>100352</xdr:rowOff>
    </xdr:to>
    <xdr:sp macro="" textlink="">
      <xdr:nvSpPr>
        <xdr:cNvPr id="6920" name="Arrow: Up-Down 33">
          <a:extLst>
            <a:ext uri="{FF2B5EF4-FFF2-40B4-BE49-F238E27FC236}">
              <a16:creationId xmlns:a16="http://schemas.microsoft.com/office/drawing/2014/main" id="{A9033919-D487-4342-A4CE-AD18505E4C55}"/>
            </a:ext>
          </a:extLst>
        </xdr:cNvPr>
        <xdr:cNvSpPr/>
      </xdr:nvSpPr>
      <xdr:spPr>
        <a:xfrm>
          <a:off x="12093388" y="19856822"/>
          <a:ext cx="302795" cy="1220942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0</xdr:row>
      <xdr:rowOff>180975</xdr:rowOff>
    </xdr:from>
    <xdr:to>
      <xdr:col>32</xdr:col>
      <xdr:colOff>47625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554829</xdr:colOff>
      <xdr:row>26</xdr:row>
      <xdr:rowOff>57149</xdr:rowOff>
    </xdr:from>
    <xdr:to>
      <xdr:col>31</xdr:col>
      <xdr:colOff>588169</xdr:colOff>
      <xdr:row>58</xdr:row>
      <xdr:rowOff>159543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shan%20jayasinghe/Downloads/STANDARD%20LAYOUT%20FORMAT%20%20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OB "/>
      <sheetName val="LAYOUT 1"/>
      <sheetName val="LAYOUT 2"/>
      <sheetName val="LayOut 1Time"/>
      <sheetName val="LayOut 2Time"/>
      <sheetName val="Sheet3"/>
      <sheetName val="LAYOUT 3"/>
      <sheetName val="Machine Summery"/>
      <sheetName val="Needle Summery"/>
      <sheetName val="Sheet1"/>
    </sheetNames>
    <sheetDataSet>
      <sheetData sheetId="0"/>
      <sheetData sheetId="1">
        <row r="15">
          <cell r="A15">
            <v>1</v>
          </cell>
          <cell r="B15" t="str">
            <v>A</v>
          </cell>
          <cell r="D15" t="str">
            <v>sd</v>
          </cell>
          <cell r="E15" t="str">
            <v>SSC</v>
          </cell>
          <cell r="I15">
            <v>0.9</v>
          </cell>
          <cell r="J15">
            <v>0.9</v>
          </cell>
          <cell r="K15">
            <v>0.9</v>
          </cell>
          <cell r="L15">
            <v>66.666666666666671</v>
          </cell>
          <cell r="M15" t="str">
            <v>c</v>
          </cell>
          <cell r="N15" t="str">
            <v>1</v>
          </cell>
          <cell r="O15">
            <v>0.73333333333333339</v>
          </cell>
          <cell r="U15" t="e">
            <v>#REF!</v>
          </cell>
        </row>
        <row r="16">
          <cell r="A16">
            <v>2</v>
          </cell>
          <cell r="D16" t="str">
            <v>d</v>
          </cell>
          <cell r="E16" t="str">
            <v>SNH</v>
          </cell>
          <cell r="H16">
            <v>0.45</v>
          </cell>
          <cell r="J16">
            <v>0.45</v>
          </cell>
          <cell r="K16">
            <v>0.45</v>
          </cell>
          <cell r="L16">
            <v>133.33333333333334</v>
          </cell>
          <cell r="M16" t="str">
            <v>c</v>
          </cell>
          <cell r="N16" t="str">
            <v>1</v>
          </cell>
          <cell r="O16">
            <v>0.3666666666666667</v>
          </cell>
          <cell r="U16" t="e">
            <v>#REF!</v>
          </cell>
        </row>
        <row r="17">
          <cell r="A17">
            <v>3</v>
          </cell>
          <cell r="D17" t="str">
            <v>dZVbdg</v>
          </cell>
          <cell r="E17" t="str">
            <v>SNS</v>
          </cell>
          <cell r="J17">
            <v>0</v>
          </cell>
          <cell r="K17" t="str">
            <v/>
          </cell>
          <cell r="L17" t="str">
            <v/>
          </cell>
          <cell r="M17" t="str">
            <v>c</v>
          </cell>
          <cell r="N17" t="str">
            <v>1</v>
          </cell>
          <cell r="O17">
            <v>0</v>
          </cell>
          <cell r="U17" t="e">
            <v>#REF!</v>
          </cell>
        </row>
        <row r="18">
          <cell r="A18">
            <v>4</v>
          </cell>
          <cell r="D18" t="str">
            <v>fd</v>
          </cell>
          <cell r="E18" t="str">
            <v>SNS</v>
          </cell>
          <cell r="H18">
            <v>0.23</v>
          </cell>
          <cell r="J18">
            <v>0.23</v>
          </cell>
          <cell r="K18">
            <v>0.23</v>
          </cell>
          <cell r="L18">
            <v>260.86956521739131</v>
          </cell>
          <cell r="M18" t="str">
            <v>c</v>
          </cell>
          <cell r="N18" t="str">
            <v>1</v>
          </cell>
          <cell r="O18">
            <v>0.18740740740740741</v>
          </cell>
          <cell r="U18" t="e">
            <v>#REF!</v>
          </cell>
        </row>
        <row r="19">
          <cell r="A19">
            <v>5</v>
          </cell>
          <cell r="D19" t="str">
            <v>gfdg</v>
          </cell>
          <cell r="E19" t="str">
            <v>SNS</v>
          </cell>
          <cell r="H19">
            <v>0.67</v>
          </cell>
          <cell r="J19">
            <v>0.67</v>
          </cell>
          <cell r="K19">
            <v>0.67</v>
          </cell>
          <cell r="L19">
            <v>89.552238805970148</v>
          </cell>
          <cell r="M19" t="str">
            <v>c</v>
          </cell>
          <cell r="N19" t="str">
            <v>1</v>
          </cell>
          <cell r="O19">
            <v>0.54592592592592593</v>
          </cell>
          <cell r="U19" t="e">
            <v>#REF!</v>
          </cell>
        </row>
        <row r="20">
          <cell r="A20">
            <v>6</v>
          </cell>
          <cell r="D20" t="str">
            <v>hytmkfhg</v>
          </cell>
          <cell r="E20" t="str">
            <v>SNC</v>
          </cell>
          <cell r="H20">
            <v>0.76</v>
          </cell>
          <cell r="J20">
            <v>0.76</v>
          </cell>
          <cell r="K20">
            <v>0.76</v>
          </cell>
          <cell r="L20">
            <v>78.94736842105263</v>
          </cell>
          <cell r="M20" t="str">
            <v>c</v>
          </cell>
          <cell r="N20" t="str">
            <v>1</v>
          </cell>
          <cell r="O20">
            <v>0.61925925925925929</v>
          </cell>
          <cell r="U20" t="e">
            <v>#REF!</v>
          </cell>
        </row>
        <row r="21">
          <cell r="A21">
            <v>7</v>
          </cell>
          <cell r="D21" t="str">
            <v>yihjk</v>
          </cell>
          <cell r="E21" t="str">
            <v>SSC</v>
          </cell>
          <cell r="H21">
            <v>0.56000000000000005</v>
          </cell>
          <cell r="J21">
            <v>0.56000000000000005</v>
          </cell>
          <cell r="K21">
            <v>0.56000000000000005</v>
          </cell>
          <cell r="L21">
            <v>107.14285714285714</v>
          </cell>
          <cell r="M21" t="str">
            <v>c</v>
          </cell>
          <cell r="N21" t="str">
            <v>1</v>
          </cell>
          <cell r="O21">
            <v>0.45629629629629631</v>
          </cell>
          <cell r="U21" t="e">
            <v>#REF!</v>
          </cell>
        </row>
        <row r="22">
          <cell r="A22">
            <v>8</v>
          </cell>
          <cell r="D22" t="str">
            <v>dsgh</v>
          </cell>
          <cell r="E22" t="str">
            <v>WCB</v>
          </cell>
          <cell r="H22">
            <v>0.55000000000000004</v>
          </cell>
          <cell r="J22">
            <v>0.55000000000000004</v>
          </cell>
          <cell r="K22">
            <v>0.55000000000000004</v>
          </cell>
          <cell r="L22">
            <v>109.09090909090908</v>
          </cell>
          <cell r="M22" t="str">
            <v>c</v>
          </cell>
          <cell r="N22" t="str">
            <v>1</v>
          </cell>
          <cell r="O22">
            <v>0.44814814814814818</v>
          </cell>
          <cell r="U22" t="e">
            <v>#REF!</v>
          </cell>
        </row>
        <row r="23">
          <cell r="A23">
            <v>9</v>
          </cell>
          <cell r="D23" t="str">
            <v>dn</v>
          </cell>
          <cell r="E23" t="str">
            <v>ZZL</v>
          </cell>
          <cell r="H23">
            <v>0.67</v>
          </cell>
          <cell r="J23">
            <v>0.67</v>
          </cell>
          <cell r="K23">
            <v>0.67</v>
          </cell>
          <cell r="L23">
            <v>89.552238805970148</v>
          </cell>
          <cell r="M23" t="str">
            <v>c</v>
          </cell>
          <cell r="N23" t="str">
            <v>1</v>
          </cell>
          <cell r="O23">
            <v>0.54592592592592593</v>
          </cell>
          <cell r="U23" t="e">
            <v>#REF!</v>
          </cell>
        </row>
        <row r="24">
          <cell r="A24">
            <v>10</v>
          </cell>
          <cell r="J24">
            <v>0</v>
          </cell>
          <cell r="K24" t="str">
            <v/>
          </cell>
          <cell r="L24" t="str">
            <v/>
          </cell>
          <cell r="M24" t="str">
            <v>c</v>
          </cell>
          <cell r="N24" t="str">
            <v>1</v>
          </cell>
          <cell r="O24">
            <v>0</v>
          </cell>
          <cell r="U24" t="e">
            <v>#REF!</v>
          </cell>
        </row>
        <row r="25">
          <cell r="A25">
            <v>11</v>
          </cell>
          <cell r="J25">
            <v>0</v>
          </cell>
          <cell r="K25" t="str">
            <v/>
          </cell>
          <cell r="L25" t="str">
            <v/>
          </cell>
          <cell r="M25" t="str">
            <v>c</v>
          </cell>
          <cell r="N25" t="str">
            <v>1</v>
          </cell>
          <cell r="O25">
            <v>0</v>
          </cell>
          <cell r="U25" t="e">
            <v>#REF!</v>
          </cell>
        </row>
        <row r="26">
          <cell r="A26">
            <v>12</v>
          </cell>
          <cell r="J26">
            <v>0</v>
          </cell>
          <cell r="K26" t="str">
            <v/>
          </cell>
          <cell r="L26" t="str">
            <v/>
          </cell>
          <cell r="M26" t="str">
            <v>c</v>
          </cell>
          <cell r="N26" t="str">
            <v>1</v>
          </cell>
          <cell r="O26">
            <v>0</v>
          </cell>
          <cell r="U26" t="e">
            <v>#REF!</v>
          </cell>
        </row>
        <row r="27">
          <cell r="A27">
            <v>13</v>
          </cell>
          <cell r="J27">
            <v>0</v>
          </cell>
          <cell r="K27" t="str">
            <v/>
          </cell>
          <cell r="L27" t="str">
            <v/>
          </cell>
          <cell r="M27" t="str">
            <v>c</v>
          </cell>
          <cell r="N27" t="str">
            <v>1</v>
          </cell>
          <cell r="O27">
            <v>0</v>
          </cell>
          <cell r="U27" t="e">
            <v>#REF!</v>
          </cell>
        </row>
        <row r="28">
          <cell r="A28">
            <v>14</v>
          </cell>
          <cell r="J28">
            <v>0</v>
          </cell>
          <cell r="K28" t="str">
            <v/>
          </cell>
          <cell r="L28" t="str">
            <v/>
          </cell>
          <cell r="M28" t="str">
            <v>c</v>
          </cell>
          <cell r="N28" t="str">
            <v>1</v>
          </cell>
          <cell r="O28">
            <v>0</v>
          </cell>
          <cell r="U28" t="e">
            <v>#REF!</v>
          </cell>
        </row>
        <row r="29">
          <cell r="A29">
            <v>15</v>
          </cell>
          <cell r="J29">
            <v>0</v>
          </cell>
          <cell r="K29" t="str">
            <v/>
          </cell>
          <cell r="L29" t="str">
            <v/>
          </cell>
          <cell r="M29" t="str">
            <v>c</v>
          </cell>
          <cell r="N29" t="str">
            <v>1</v>
          </cell>
          <cell r="O29">
            <v>0</v>
          </cell>
          <cell r="U29" t="e">
            <v>#REF!</v>
          </cell>
        </row>
        <row r="30">
          <cell r="A30">
            <v>16</v>
          </cell>
          <cell r="J30">
            <v>0</v>
          </cell>
          <cell r="K30" t="str">
            <v/>
          </cell>
          <cell r="L30" t="str">
            <v/>
          </cell>
          <cell r="M30" t="str">
            <v>c</v>
          </cell>
          <cell r="N30" t="str">
            <v>1</v>
          </cell>
          <cell r="O30">
            <v>0</v>
          </cell>
          <cell r="U30" t="e">
            <v>#REF!</v>
          </cell>
        </row>
        <row r="31">
          <cell r="A31">
            <v>17</v>
          </cell>
          <cell r="J31">
            <v>0</v>
          </cell>
          <cell r="K31" t="str">
            <v/>
          </cell>
          <cell r="L31" t="str">
            <v/>
          </cell>
          <cell r="M31" t="str">
            <v>c</v>
          </cell>
          <cell r="N31" t="str">
            <v>1</v>
          </cell>
          <cell r="O31">
            <v>0</v>
          </cell>
          <cell r="U31" t="e">
            <v>#REF!</v>
          </cell>
        </row>
        <row r="32">
          <cell r="A32">
            <v>18</v>
          </cell>
          <cell r="J32">
            <v>0</v>
          </cell>
          <cell r="K32" t="str">
            <v/>
          </cell>
          <cell r="L32" t="str">
            <v/>
          </cell>
          <cell r="M32" t="str">
            <v>c</v>
          </cell>
          <cell r="N32" t="str">
            <v>1</v>
          </cell>
          <cell r="O32">
            <v>0</v>
          </cell>
          <cell r="U32" t="e">
            <v>#REF!</v>
          </cell>
        </row>
        <row r="33">
          <cell r="A33">
            <v>19</v>
          </cell>
          <cell r="J33">
            <v>0</v>
          </cell>
          <cell r="K33" t="str">
            <v/>
          </cell>
          <cell r="L33" t="str">
            <v/>
          </cell>
          <cell r="M33" t="str">
            <v>c</v>
          </cell>
          <cell r="N33" t="str">
            <v>1</v>
          </cell>
          <cell r="O33">
            <v>0</v>
          </cell>
          <cell r="U33" t="e">
            <v>#REF!</v>
          </cell>
        </row>
        <row r="34">
          <cell r="A34">
            <v>20</v>
          </cell>
          <cell r="J34">
            <v>0</v>
          </cell>
          <cell r="K34" t="str">
            <v/>
          </cell>
          <cell r="L34" t="str">
            <v/>
          </cell>
          <cell r="M34" t="str">
            <v>c</v>
          </cell>
          <cell r="N34" t="str">
            <v>1</v>
          </cell>
          <cell r="O34">
            <v>0</v>
          </cell>
          <cell r="U34" t="e">
            <v>#REF!</v>
          </cell>
        </row>
        <row r="35">
          <cell r="A35">
            <v>21</v>
          </cell>
          <cell r="J35">
            <v>0</v>
          </cell>
          <cell r="K35" t="str">
            <v/>
          </cell>
          <cell r="L35" t="str">
            <v/>
          </cell>
          <cell r="M35" t="str">
            <v>c</v>
          </cell>
          <cell r="N35" t="str">
            <v>1</v>
          </cell>
          <cell r="O35">
            <v>0</v>
          </cell>
          <cell r="U35" t="e">
            <v>#REF!</v>
          </cell>
        </row>
        <row r="36">
          <cell r="A36">
            <v>22</v>
          </cell>
          <cell r="J36">
            <v>0</v>
          </cell>
          <cell r="K36" t="str">
            <v/>
          </cell>
          <cell r="L36" t="str">
            <v/>
          </cell>
          <cell r="M36" t="str">
            <v>c</v>
          </cell>
          <cell r="N36" t="str">
            <v>1</v>
          </cell>
          <cell r="O36">
            <v>0</v>
          </cell>
          <cell r="U36" t="e">
            <v>#REF!</v>
          </cell>
        </row>
        <row r="37">
          <cell r="A37">
            <v>23</v>
          </cell>
          <cell r="J37">
            <v>0</v>
          </cell>
          <cell r="K37" t="str">
            <v/>
          </cell>
          <cell r="L37" t="str">
            <v/>
          </cell>
          <cell r="M37" t="str">
            <v>c</v>
          </cell>
          <cell r="N37" t="str">
            <v>1</v>
          </cell>
          <cell r="O37">
            <v>0</v>
          </cell>
        </row>
        <row r="38">
          <cell r="A38">
            <v>24</v>
          </cell>
          <cell r="J38">
            <v>0</v>
          </cell>
          <cell r="K38" t="str">
            <v/>
          </cell>
          <cell r="L38" t="str">
            <v/>
          </cell>
          <cell r="M38" t="str">
            <v>c</v>
          </cell>
          <cell r="N38" t="str">
            <v>1</v>
          </cell>
          <cell r="O38">
            <v>0</v>
          </cell>
        </row>
        <row r="39">
          <cell r="A39">
            <v>25</v>
          </cell>
          <cell r="J39">
            <v>0</v>
          </cell>
          <cell r="K39" t="str">
            <v/>
          </cell>
          <cell r="L39" t="str">
            <v/>
          </cell>
          <cell r="M39" t="str">
            <v>c</v>
          </cell>
          <cell r="N39" t="str">
            <v>1</v>
          </cell>
          <cell r="O39">
            <v>0</v>
          </cell>
        </row>
        <row r="40">
          <cell r="A40">
            <v>26</v>
          </cell>
          <cell r="J40">
            <v>0</v>
          </cell>
          <cell r="K40" t="str">
            <v/>
          </cell>
          <cell r="L40" t="str">
            <v/>
          </cell>
          <cell r="M40" t="str">
            <v>c</v>
          </cell>
          <cell r="N40" t="str">
            <v>1</v>
          </cell>
          <cell r="O40">
            <v>0</v>
          </cell>
        </row>
        <row r="41">
          <cell r="A41">
            <v>27</v>
          </cell>
          <cell r="J41">
            <v>0</v>
          </cell>
          <cell r="K41" t="str">
            <v/>
          </cell>
          <cell r="L41" t="str">
            <v/>
          </cell>
          <cell r="M41" t="str">
            <v>c</v>
          </cell>
          <cell r="N41" t="str">
            <v>1</v>
          </cell>
          <cell r="O41">
            <v>0</v>
          </cell>
        </row>
        <row r="42">
          <cell r="A42">
            <v>28</v>
          </cell>
          <cell r="J42">
            <v>0</v>
          </cell>
          <cell r="K42" t="str">
            <v/>
          </cell>
          <cell r="L42" t="str">
            <v/>
          </cell>
          <cell r="M42" t="str">
            <v>c</v>
          </cell>
          <cell r="N42" t="str">
            <v>1</v>
          </cell>
          <cell r="O42">
            <v>0</v>
          </cell>
        </row>
        <row r="43">
          <cell r="A43">
            <v>29</v>
          </cell>
          <cell r="J43">
            <v>0</v>
          </cell>
          <cell r="K43" t="str">
            <v/>
          </cell>
          <cell r="L43" t="str">
            <v/>
          </cell>
          <cell r="M43" t="str">
            <v>c</v>
          </cell>
          <cell r="N43" t="str">
            <v>1</v>
          </cell>
          <cell r="O43">
            <v>0</v>
          </cell>
        </row>
        <row r="44">
          <cell r="A44">
            <v>30</v>
          </cell>
          <cell r="J44">
            <v>0</v>
          </cell>
          <cell r="K44" t="str">
            <v/>
          </cell>
          <cell r="L44" t="str">
            <v/>
          </cell>
          <cell r="M44" t="str">
            <v>c</v>
          </cell>
          <cell r="N44" t="str">
            <v>1</v>
          </cell>
          <cell r="O44">
            <v>0</v>
          </cell>
        </row>
        <row r="45">
          <cell r="A45">
            <v>31</v>
          </cell>
          <cell r="J45">
            <v>0</v>
          </cell>
          <cell r="K45" t="str">
            <v/>
          </cell>
          <cell r="L45" t="str">
            <v/>
          </cell>
          <cell r="M45" t="str">
            <v>c</v>
          </cell>
          <cell r="N45" t="str">
            <v>1</v>
          </cell>
          <cell r="O45">
            <v>0</v>
          </cell>
        </row>
        <row r="46">
          <cell r="A46">
            <v>32</v>
          </cell>
          <cell r="J46">
            <v>0</v>
          </cell>
          <cell r="K46" t="str">
            <v/>
          </cell>
          <cell r="L46" t="str">
            <v/>
          </cell>
          <cell r="M46" t="str">
            <v>c</v>
          </cell>
          <cell r="N46" t="str">
            <v>1</v>
          </cell>
          <cell r="O46">
            <v>0</v>
          </cell>
        </row>
        <row r="47">
          <cell r="A47">
            <v>33</v>
          </cell>
          <cell r="J47">
            <v>0</v>
          </cell>
          <cell r="K47" t="str">
            <v/>
          </cell>
          <cell r="L47" t="str">
            <v/>
          </cell>
          <cell r="M47" t="str">
            <v>c</v>
          </cell>
          <cell r="N47" t="str">
            <v>1</v>
          </cell>
          <cell r="O47">
            <v>0</v>
          </cell>
        </row>
        <row r="48">
          <cell r="A48">
            <v>34</v>
          </cell>
          <cell r="J48">
            <v>0</v>
          </cell>
          <cell r="K48" t="str">
            <v/>
          </cell>
          <cell r="L48" t="str">
            <v/>
          </cell>
          <cell r="M48" t="str">
            <v>c</v>
          </cell>
          <cell r="N48" t="str">
            <v>1</v>
          </cell>
          <cell r="O48">
            <v>0</v>
          </cell>
        </row>
        <row r="49">
          <cell r="A49">
            <v>35</v>
          </cell>
          <cell r="J49">
            <v>0</v>
          </cell>
          <cell r="K49" t="str">
            <v/>
          </cell>
          <cell r="L49" t="str">
            <v/>
          </cell>
          <cell r="M49" t="str">
            <v>c</v>
          </cell>
          <cell r="N49" t="str">
            <v>1</v>
          </cell>
          <cell r="O49">
            <v>0</v>
          </cell>
          <cell r="U49" t="e">
            <v>#REF!</v>
          </cell>
        </row>
        <row r="50">
          <cell r="A50">
            <v>36</v>
          </cell>
          <cell r="J50">
            <v>0</v>
          </cell>
          <cell r="K50" t="str">
            <v/>
          </cell>
          <cell r="L50" t="str">
            <v/>
          </cell>
          <cell r="M50" t="str">
            <v>c</v>
          </cell>
          <cell r="N50" t="str">
            <v>1</v>
          </cell>
          <cell r="O50">
            <v>0</v>
          </cell>
          <cell r="U50" t="e">
            <v>#REF!</v>
          </cell>
        </row>
        <row r="51">
          <cell r="A51">
            <v>37</v>
          </cell>
          <cell r="J51">
            <v>0</v>
          </cell>
          <cell r="K51" t="str">
            <v/>
          </cell>
          <cell r="L51" t="str">
            <v/>
          </cell>
          <cell r="M51" t="str">
            <v>c</v>
          </cell>
          <cell r="N51" t="str">
            <v>1</v>
          </cell>
          <cell r="O51">
            <v>0</v>
          </cell>
          <cell r="U51" t="e">
            <v>#REF!</v>
          </cell>
        </row>
        <row r="52">
          <cell r="A52">
            <v>38</v>
          </cell>
          <cell r="J52">
            <v>0</v>
          </cell>
          <cell r="K52" t="str">
            <v/>
          </cell>
          <cell r="L52" t="str">
            <v/>
          </cell>
          <cell r="M52" t="str">
            <v>c</v>
          </cell>
          <cell r="N52" t="str">
            <v>1</v>
          </cell>
          <cell r="O52">
            <v>0</v>
          </cell>
          <cell r="U52" t="e">
            <v>#REF!</v>
          </cell>
        </row>
        <row r="53">
          <cell r="A53">
            <v>39</v>
          </cell>
          <cell r="J53">
            <v>0</v>
          </cell>
          <cell r="K53" t="str">
            <v/>
          </cell>
          <cell r="L53" t="str">
            <v/>
          </cell>
          <cell r="M53" t="str">
            <v>c</v>
          </cell>
          <cell r="N53" t="str">
            <v>1</v>
          </cell>
          <cell r="O53">
            <v>0</v>
          </cell>
          <cell r="U53" t="e">
            <v>#REF!</v>
          </cell>
        </row>
        <row r="54">
          <cell r="A54">
            <v>40</v>
          </cell>
          <cell r="J54">
            <v>0</v>
          </cell>
          <cell r="K54" t="str">
            <v/>
          </cell>
          <cell r="L54" t="str">
            <v/>
          </cell>
          <cell r="M54" t="str">
            <v>c</v>
          </cell>
          <cell r="N54" t="str">
            <v>1</v>
          </cell>
          <cell r="O54">
            <v>0</v>
          </cell>
          <cell r="U54" t="e">
            <v>#REF!</v>
          </cell>
        </row>
        <row r="55">
          <cell r="A55">
            <v>41</v>
          </cell>
          <cell r="J55">
            <v>0</v>
          </cell>
          <cell r="K55" t="str">
            <v/>
          </cell>
          <cell r="L55" t="str">
            <v/>
          </cell>
          <cell r="M55" t="str">
            <v>c</v>
          </cell>
          <cell r="N55" t="str">
            <v>1</v>
          </cell>
          <cell r="O55">
            <v>0</v>
          </cell>
          <cell r="U55" t="e">
            <v>#REF!</v>
          </cell>
        </row>
        <row r="56">
          <cell r="A56">
            <v>42</v>
          </cell>
          <cell r="J56">
            <v>0</v>
          </cell>
          <cell r="K56" t="str">
            <v/>
          </cell>
          <cell r="L56" t="str">
            <v/>
          </cell>
          <cell r="M56" t="str">
            <v>c</v>
          </cell>
          <cell r="N56" t="str">
            <v>1</v>
          </cell>
          <cell r="O56">
            <v>0</v>
          </cell>
          <cell r="U56" t="e">
            <v>#REF!</v>
          </cell>
        </row>
        <row r="57">
          <cell r="A57">
            <v>43</v>
          </cell>
          <cell r="J57">
            <v>0</v>
          </cell>
          <cell r="K57" t="str">
            <v/>
          </cell>
          <cell r="L57" t="str">
            <v/>
          </cell>
          <cell r="M57" t="str">
            <v>c</v>
          </cell>
          <cell r="N57" t="str">
            <v>1</v>
          </cell>
          <cell r="O57">
            <v>0</v>
          </cell>
          <cell r="U57" t="e">
            <v>#REF!</v>
          </cell>
        </row>
        <row r="58">
          <cell r="A58">
            <v>44</v>
          </cell>
          <cell r="J58">
            <v>0</v>
          </cell>
          <cell r="K58" t="str">
            <v/>
          </cell>
          <cell r="L58" t="str">
            <v/>
          </cell>
          <cell r="M58" t="str">
            <v>c</v>
          </cell>
          <cell r="N58" t="str">
            <v>1</v>
          </cell>
          <cell r="O58">
            <v>0</v>
          </cell>
          <cell r="U58" t="e">
            <v>#REF!</v>
          </cell>
        </row>
        <row r="59">
          <cell r="A59">
            <v>45</v>
          </cell>
          <cell r="J59">
            <v>0</v>
          </cell>
          <cell r="K59" t="str">
            <v/>
          </cell>
          <cell r="L59" t="str">
            <v/>
          </cell>
          <cell r="M59" t="str">
            <v>c</v>
          </cell>
          <cell r="N59" t="str">
            <v>1</v>
          </cell>
          <cell r="O59">
            <v>0</v>
          </cell>
          <cell r="U59" t="e">
            <v>#REF!</v>
          </cell>
        </row>
        <row r="60">
          <cell r="A60">
            <v>46</v>
          </cell>
          <cell r="J60">
            <v>0</v>
          </cell>
          <cell r="K60" t="str">
            <v/>
          </cell>
          <cell r="L60" t="str">
            <v/>
          </cell>
          <cell r="M60" t="str">
            <v>c</v>
          </cell>
          <cell r="N60" t="str">
            <v>1</v>
          </cell>
          <cell r="O60">
            <v>0</v>
          </cell>
          <cell r="U60" t="e">
            <v>#REF!</v>
          </cell>
        </row>
        <row r="61">
          <cell r="A61">
            <v>47</v>
          </cell>
          <cell r="J61">
            <v>0</v>
          </cell>
          <cell r="K61" t="str">
            <v/>
          </cell>
          <cell r="L61" t="str">
            <v/>
          </cell>
          <cell r="M61" t="str">
            <v>c</v>
          </cell>
          <cell r="N61" t="str">
            <v>1</v>
          </cell>
          <cell r="O61">
            <v>0</v>
          </cell>
          <cell r="U61" t="e">
            <v>#REF!</v>
          </cell>
        </row>
        <row r="62">
          <cell r="A62">
            <v>48</v>
          </cell>
          <cell r="J62">
            <v>0</v>
          </cell>
          <cell r="K62" t="str">
            <v/>
          </cell>
          <cell r="L62" t="str">
            <v/>
          </cell>
          <cell r="M62" t="str">
            <v>c</v>
          </cell>
          <cell r="N62" t="str">
            <v>1</v>
          </cell>
          <cell r="O62">
            <v>0</v>
          </cell>
          <cell r="U62" t="e">
            <v>#REF!</v>
          </cell>
        </row>
        <row r="63">
          <cell r="A63">
            <v>49</v>
          </cell>
          <cell r="J63">
            <v>0</v>
          </cell>
          <cell r="K63" t="str">
            <v/>
          </cell>
          <cell r="L63" t="str">
            <v/>
          </cell>
          <cell r="M63" t="str">
            <v>c</v>
          </cell>
          <cell r="N63" t="str">
            <v>1</v>
          </cell>
          <cell r="O63">
            <v>0</v>
          </cell>
          <cell r="U63" t="e">
            <v>#REF!</v>
          </cell>
        </row>
        <row r="64">
          <cell r="A64">
            <v>50</v>
          </cell>
          <cell r="J64">
            <v>0</v>
          </cell>
          <cell r="K64" t="str">
            <v/>
          </cell>
          <cell r="L64" t="str">
            <v/>
          </cell>
          <cell r="M64" t="str">
            <v>c</v>
          </cell>
          <cell r="N64" t="str">
            <v>1</v>
          </cell>
          <cell r="O64">
            <v>0</v>
          </cell>
          <cell r="U64" t="e">
            <v>#REF!</v>
          </cell>
        </row>
        <row r="65">
          <cell r="A65">
            <v>51</v>
          </cell>
          <cell r="J65">
            <v>0</v>
          </cell>
          <cell r="K65" t="str">
            <v/>
          </cell>
          <cell r="L65" t="str">
            <v/>
          </cell>
          <cell r="M65" t="str">
            <v>c</v>
          </cell>
          <cell r="N65" t="str">
            <v>1</v>
          </cell>
          <cell r="O65">
            <v>0</v>
          </cell>
          <cell r="U65" t="e">
            <v>#REF!</v>
          </cell>
        </row>
        <row r="66">
          <cell r="A66">
            <v>52</v>
          </cell>
          <cell r="J66">
            <v>0</v>
          </cell>
          <cell r="K66" t="str">
            <v/>
          </cell>
          <cell r="L66" t="str">
            <v/>
          </cell>
          <cell r="M66" t="str">
            <v>c</v>
          </cell>
          <cell r="N66" t="str">
            <v>1</v>
          </cell>
          <cell r="O66">
            <v>0</v>
          </cell>
          <cell r="U66" t="e">
            <v>#REF!</v>
          </cell>
        </row>
        <row r="67">
          <cell r="A67">
            <v>53</v>
          </cell>
          <cell r="J67">
            <v>0</v>
          </cell>
          <cell r="K67" t="str">
            <v/>
          </cell>
          <cell r="L67" t="str">
            <v/>
          </cell>
          <cell r="M67" t="str">
            <v>c</v>
          </cell>
          <cell r="N67" t="str">
            <v>1</v>
          </cell>
          <cell r="O67">
            <v>0</v>
          </cell>
          <cell r="U67" t="e">
            <v>#REF!</v>
          </cell>
        </row>
        <row r="68">
          <cell r="A68">
            <v>54</v>
          </cell>
          <cell r="J68">
            <v>0</v>
          </cell>
          <cell r="K68" t="str">
            <v/>
          </cell>
          <cell r="L68" t="str">
            <v/>
          </cell>
          <cell r="M68" t="str">
            <v>c</v>
          </cell>
          <cell r="N68" t="str">
            <v>1</v>
          </cell>
          <cell r="O68">
            <v>0</v>
          </cell>
          <cell r="U68" t="e">
            <v>#REF!</v>
          </cell>
        </row>
        <row r="69">
          <cell r="A69">
            <v>55</v>
          </cell>
          <cell r="J69">
            <v>0</v>
          </cell>
          <cell r="K69" t="str">
            <v/>
          </cell>
          <cell r="L69" t="str">
            <v/>
          </cell>
          <cell r="M69" t="str">
            <v>c</v>
          </cell>
          <cell r="N69" t="str">
            <v>1</v>
          </cell>
          <cell r="O69">
            <v>0</v>
          </cell>
          <cell r="U69" t="e">
            <v>#REF!</v>
          </cell>
        </row>
        <row r="70">
          <cell r="A70">
            <v>56</v>
          </cell>
          <cell r="J70">
            <v>0</v>
          </cell>
          <cell r="K70" t="str">
            <v/>
          </cell>
          <cell r="L70" t="str">
            <v/>
          </cell>
          <cell r="M70" t="str">
            <v>c</v>
          </cell>
          <cell r="N70" t="str">
            <v>1</v>
          </cell>
          <cell r="O70">
            <v>0</v>
          </cell>
          <cell r="U70" t="e">
            <v>#REF!</v>
          </cell>
        </row>
        <row r="71">
          <cell r="A71">
            <v>57</v>
          </cell>
          <cell r="J71">
            <v>0</v>
          </cell>
          <cell r="K71" t="str">
            <v/>
          </cell>
          <cell r="L71" t="str">
            <v/>
          </cell>
          <cell r="M71" t="str">
            <v>c</v>
          </cell>
          <cell r="N71" t="str">
            <v>1</v>
          </cell>
          <cell r="O71">
            <v>0</v>
          </cell>
          <cell r="U71" t="e">
            <v>#REF!</v>
          </cell>
        </row>
        <row r="72">
          <cell r="A72">
            <v>58</v>
          </cell>
          <cell r="J72">
            <v>0</v>
          </cell>
          <cell r="K72" t="str">
            <v/>
          </cell>
          <cell r="L72" t="str">
            <v/>
          </cell>
          <cell r="M72" t="str">
            <v>c</v>
          </cell>
          <cell r="N72" t="str">
            <v>1</v>
          </cell>
          <cell r="O72">
            <v>0</v>
          </cell>
          <cell r="U72" t="e">
            <v>#REF!</v>
          </cell>
        </row>
        <row r="73">
          <cell r="A73">
            <v>59</v>
          </cell>
          <cell r="J73">
            <v>0</v>
          </cell>
          <cell r="K73" t="str">
            <v/>
          </cell>
          <cell r="L73" t="str">
            <v/>
          </cell>
          <cell r="M73" t="str">
            <v>c</v>
          </cell>
          <cell r="N73" t="str">
            <v>1</v>
          </cell>
          <cell r="O73">
            <v>0</v>
          </cell>
          <cell r="U73" t="e">
            <v>#REF!</v>
          </cell>
        </row>
        <row r="74">
          <cell r="A74">
            <v>60</v>
          </cell>
          <cell r="J74">
            <v>0</v>
          </cell>
          <cell r="K74" t="str">
            <v/>
          </cell>
          <cell r="L74" t="str">
            <v/>
          </cell>
          <cell r="M74" t="str">
            <v>c</v>
          </cell>
          <cell r="N74" t="str">
            <v>1</v>
          </cell>
          <cell r="O74">
            <v>0</v>
          </cell>
          <cell r="U74" t="e">
            <v>#REF!</v>
          </cell>
        </row>
        <row r="75">
          <cell r="A75">
            <v>61</v>
          </cell>
          <cell r="J75">
            <v>0</v>
          </cell>
          <cell r="K75" t="str">
            <v/>
          </cell>
          <cell r="L75" t="str">
            <v/>
          </cell>
          <cell r="M75" t="str">
            <v>c</v>
          </cell>
          <cell r="N75" t="str">
            <v>1</v>
          </cell>
          <cell r="O75">
            <v>0</v>
          </cell>
          <cell r="U75" t="e">
            <v>#REF!</v>
          </cell>
        </row>
        <row r="76">
          <cell r="A76">
            <v>62</v>
          </cell>
          <cell r="J76">
            <v>0</v>
          </cell>
          <cell r="K76" t="str">
            <v/>
          </cell>
          <cell r="L76" t="str">
            <v/>
          </cell>
          <cell r="M76" t="str">
            <v>c</v>
          </cell>
          <cell r="N76" t="str">
            <v>1</v>
          </cell>
          <cell r="O76">
            <v>0</v>
          </cell>
          <cell r="U76" t="e">
            <v>#REF!</v>
          </cell>
        </row>
        <row r="77">
          <cell r="A77">
            <v>63</v>
          </cell>
          <cell r="J77">
            <v>0</v>
          </cell>
          <cell r="K77" t="str">
            <v/>
          </cell>
          <cell r="L77" t="str">
            <v/>
          </cell>
          <cell r="M77" t="str">
            <v>c</v>
          </cell>
          <cell r="N77" t="str">
            <v>1</v>
          </cell>
          <cell r="O77">
            <v>0</v>
          </cell>
          <cell r="U77" t="e">
            <v>#REF!</v>
          </cell>
        </row>
        <row r="78">
          <cell r="A78">
            <v>64</v>
          </cell>
          <cell r="J78">
            <v>0</v>
          </cell>
          <cell r="K78" t="str">
            <v/>
          </cell>
          <cell r="L78" t="str">
            <v/>
          </cell>
          <cell r="M78" t="str">
            <v>c</v>
          </cell>
          <cell r="N78" t="str">
            <v>1</v>
          </cell>
          <cell r="O78">
            <v>0</v>
          </cell>
          <cell r="U78" t="e">
            <v>#REF!</v>
          </cell>
        </row>
        <row r="79">
          <cell r="A79">
            <v>65</v>
          </cell>
          <cell r="J79">
            <v>0</v>
          </cell>
          <cell r="K79" t="str">
            <v/>
          </cell>
          <cell r="L79" t="str">
            <v/>
          </cell>
          <cell r="M79" t="str">
            <v>c</v>
          </cell>
          <cell r="N79" t="str">
            <v>1</v>
          </cell>
          <cell r="O79">
            <v>0</v>
          </cell>
          <cell r="U79" t="e">
            <v>#REF!</v>
          </cell>
        </row>
        <row r="80">
          <cell r="A80">
            <v>66</v>
          </cell>
          <cell r="J80">
            <v>0</v>
          </cell>
          <cell r="K80" t="str">
            <v/>
          </cell>
          <cell r="L80" t="str">
            <v/>
          </cell>
          <cell r="M80" t="str">
            <v>c</v>
          </cell>
          <cell r="N80" t="str">
            <v>1</v>
          </cell>
          <cell r="O80">
            <v>0</v>
          </cell>
          <cell r="U80" t="e">
            <v>#REF!</v>
          </cell>
        </row>
        <row r="81">
          <cell r="A81">
            <v>67</v>
          </cell>
          <cell r="J81">
            <v>0</v>
          </cell>
          <cell r="K81" t="str">
            <v/>
          </cell>
          <cell r="L81" t="str">
            <v/>
          </cell>
          <cell r="M81" t="str">
            <v>c</v>
          </cell>
          <cell r="N81" t="str">
            <v>1</v>
          </cell>
          <cell r="O81">
            <v>0</v>
          </cell>
          <cell r="U81" t="e">
            <v>#REF!</v>
          </cell>
        </row>
        <row r="82">
          <cell r="A82">
            <v>68</v>
          </cell>
          <cell r="J82">
            <v>0</v>
          </cell>
          <cell r="K82" t="str">
            <v/>
          </cell>
          <cell r="L82" t="str">
            <v/>
          </cell>
          <cell r="M82" t="str">
            <v>c</v>
          </cell>
          <cell r="N82" t="str">
            <v>1</v>
          </cell>
          <cell r="O82">
            <v>0</v>
          </cell>
          <cell r="U82" t="e">
            <v>#REF!</v>
          </cell>
        </row>
        <row r="83">
          <cell r="A83">
            <v>69</v>
          </cell>
          <cell r="J83">
            <v>0</v>
          </cell>
          <cell r="K83" t="str">
            <v/>
          </cell>
          <cell r="L83" t="str">
            <v/>
          </cell>
          <cell r="M83" t="str">
            <v>c</v>
          </cell>
          <cell r="N83" t="str">
            <v>1</v>
          </cell>
          <cell r="O83">
            <v>0</v>
          </cell>
          <cell r="U83" t="e">
            <v>#REF!</v>
          </cell>
        </row>
        <row r="84">
          <cell r="A84">
            <v>70</v>
          </cell>
          <cell r="J84">
            <v>0</v>
          </cell>
          <cell r="K84" t="str">
            <v/>
          </cell>
          <cell r="L84" t="str">
            <v/>
          </cell>
          <cell r="M84" t="str">
            <v>c</v>
          </cell>
          <cell r="N84" t="str">
            <v>1</v>
          </cell>
          <cell r="O84">
            <v>0</v>
          </cell>
        </row>
        <row r="85">
          <cell r="A85">
            <v>71</v>
          </cell>
          <cell r="J85">
            <v>0</v>
          </cell>
          <cell r="K85" t="str">
            <v/>
          </cell>
          <cell r="L85" t="str">
            <v/>
          </cell>
          <cell r="M85" t="str">
            <v>c</v>
          </cell>
          <cell r="N85" t="str">
            <v>1</v>
          </cell>
          <cell r="O85">
            <v>0</v>
          </cell>
        </row>
        <row r="86">
          <cell r="A86">
            <v>72</v>
          </cell>
          <cell r="J86">
            <v>0</v>
          </cell>
          <cell r="K86" t="str">
            <v/>
          </cell>
          <cell r="L86" t="str">
            <v/>
          </cell>
          <cell r="M86" t="str">
            <v>c</v>
          </cell>
          <cell r="N86" t="str">
            <v>1</v>
          </cell>
          <cell r="O86">
            <v>0</v>
          </cell>
        </row>
        <row r="87">
          <cell r="A87">
            <v>73</v>
          </cell>
          <cell r="J87">
            <v>0</v>
          </cell>
          <cell r="K87" t="str">
            <v/>
          </cell>
          <cell r="L87" t="str">
            <v/>
          </cell>
          <cell r="M87" t="str">
            <v>c</v>
          </cell>
          <cell r="N87" t="str">
            <v>1</v>
          </cell>
          <cell r="O87">
            <v>0</v>
          </cell>
        </row>
        <row r="88">
          <cell r="A88">
            <v>74</v>
          </cell>
          <cell r="J88">
            <v>0</v>
          </cell>
          <cell r="K88" t="str">
            <v/>
          </cell>
          <cell r="L88" t="str">
            <v/>
          </cell>
          <cell r="M88" t="str">
            <v>c</v>
          </cell>
          <cell r="N88" t="str">
            <v>1</v>
          </cell>
          <cell r="O88">
            <v>0</v>
          </cell>
        </row>
        <row r="89">
          <cell r="A89">
            <v>75</v>
          </cell>
          <cell r="J89">
            <v>0</v>
          </cell>
          <cell r="K89" t="str">
            <v/>
          </cell>
          <cell r="L89" t="str">
            <v/>
          </cell>
          <cell r="M89" t="str">
            <v>c</v>
          </cell>
          <cell r="N89" t="str">
            <v>1</v>
          </cell>
          <cell r="O89">
            <v>0</v>
          </cell>
        </row>
        <row r="90">
          <cell r="A90">
            <v>76</v>
          </cell>
          <cell r="J90">
            <v>0</v>
          </cell>
          <cell r="K90" t="str">
            <v/>
          </cell>
          <cell r="L90" t="str">
            <v/>
          </cell>
          <cell r="M90" t="str">
            <v>c</v>
          </cell>
          <cell r="N90" t="str">
            <v>1</v>
          </cell>
          <cell r="O90">
            <v>0</v>
          </cell>
        </row>
        <row r="91">
          <cell r="A91">
            <v>77</v>
          </cell>
          <cell r="J91">
            <v>0</v>
          </cell>
          <cell r="K91" t="str">
            <v/>
          </cell>
          <cell r="L91" t="str">
            <v/>
          </cell>
          <cell r="M91" t="str">
            <v>c</v>
          </cell>
          <cell r="N91" t="str">
            <v>1</v>
          </cell>
          <cell r="O91">
            <v>0</v>
          </cell>
        </row>
        <row r="92">
          <cell r="A92">
            <v>78</v>
          </cell>
          <cell r="J92">
            <v>0</v>
          </cell>
          <cell r="K92" t="str">
            <v/>
          </cell>
          <cell r="L92" t="str">
            <v/>
          </cell>
          <cell r="M92" t="str">
            <v>c</v>
          </cell>
          <cell r="N92" t="str">
            <v>1</v>
          </cell>
          <cell r="O92">
            <v>0</v>
          </cell>
        </row>
        <row r="93">
          <cell r="A93">
            <v>79</v>
          </cell>
          <cell r="J93">
            <v>0</v>
          </cell>
          <cell r="K93" t="str">
            <v/>
          </cell>
          <cell r="L93" t="str">
            <v/>
          </cell>
          <cell r="M93" t="str">
            <v>c</v>
          </cell>
          <cell r="N93" t="str">
            <v>1</v>
          </cell>
          <cell r="O93">
            <v>0</v>
          </cell>
        </row>
        <row r="94">
          <cell r="A94">
            <v>80</v>
          </cell>
          <cell r="J94">
            <v>0</v>
          </cell>
          <cell r="K94" t="str">
            <v/>
          </cell>
          <cell r="L94" t="str">
            <v/>
          </cell>
          <cell r="M94" t="str">
            <v>c</v>
          </cell>
          <cell r="N94" t="str">
            <v>1</v>
          </cell>
          <cell r="O94">
            <v>0</v>
          </cell>
        </row>
        <row r="95">
          <cell r="A95">
            <v>81</v>
          </cell>
          <cell r="J95">
            <v>0</v>
          </cell>
          <cell r="K95" t="str">
            <v/>
          </cell>
          <cell r="L95" t="str">
            <v/>
          </cell>
          <cell r="M95" t="str">
            <v>c</v>
          </cell>
          <cell r="N95" t="str">
            <v>1</v>
          </cell>
          <cell r="O95">
            <v>0</v>
          </cell>
        </row>
        <row r="96">
          <cell r="A96">
            <v>82</v>
          </cell>
          <cell r="J96">
            <v>0</v>
          </cell>
          <cell r="K96" t="str">
            <v/>
          </cell>
          <cell r="L96" t="str">
            <v/>
          </cell>
          <cell r="M96" t="str">
            <v>c</v>
          </cell>
          <cell r="N96" t="str">
            <v>1</v>
          </cell>
          <cell r="O96">
            <v>0</v>
          </cell>
        </row>
        <row r="97">
          <cell r="A97">
            <v>83</v>
          </cell>
          <cell r="J97">
            <v>0</v>
          </cell>
          <cell r="K97" t="str">
            <v/>
          </cell>
          <cell r="L97" t="str">
            <v/>
          </cell>
          <cell r="M97" t="str">
            <v>c</v>
          </cell>
          <cell r="N97" t="str">
            <v>1</v>
          </cell>
          <cell r="O97">
            <v>0</v>
          </cell>
        </row>
        <row r="98">
          <cell r="A98">
            <v>84</v>
          </cell>
          <cell r="J98">
            <v>0</v>
          </cell>
          <cell r="K98" t="str">
            <v/>
          </cell>
          <cell r="L98" t="str">
            <v/>
          </cell>
          <cell r="M98" t="str">
            <v>c</v>
          </cell>
          <cell r="N98" t="str">
            <v>1</v>
          </cell>
          <cell r="O98">
            <v>0</v>
          </cell>
        </row>
        <row r="99">
          <cell r="A99">
            <v>85</v>
          </cell>
          <cell r="J99">
            <v>0</v>
          </cell>
          <cell r="K99" t="str">
            <v/>
          </cell>
          <cell r="L99" t="str">
            <v/>
          </cell>
          <cell r="M99" t="str">
            <v>c</v>
          </cell>
          <cell r="N99" t="str">
            <v>1</v>
          </cell>
          <cell r="O99">
            <v>0</v>
          </cell>
        </row>
        <row r="100">
          <cell r="A100">
            <v>86</v>
          </cell>
          <cell r="J100">
            <v>0</v>
          </cell>
          <cell r="K100" t="str">
            <v/>
          </cell>
          <cell r="L100" t="str">
            <v/>
          </cell>
          <cell r="M100" t="str">
            <v>c</v>
          </cell>
          <cell r="N100" t="str">
            <v>1</v>
          </cell>
          <cell r="O100">
            <v>0</v>
          </cell>
        </row>
        <row r="101">
          <cell r="A101">
            <v>87</v>
          </cell>
          <cell r="J101">
            <v>0</v>
          </cell>
          <cell r="K101" t="str">
            <v/>
          </cell>
          <cell r="L101" t="str">
            <v/>
          </cell>
          <cell r="M101" t="str">
            <v>c</v>
          </cell>
          <cell r="N101" t="str">
            <v>1</v>
          </cell>
          <cell r="O101">
            <v>0</v>
          </cell>
        </row>
        <row r="102">
          <cell r="A102">
            <v>88</v>
          </cell>
          <cell r="J102">
            <v>0</v>
          </cell>
          <cell r="K102" t="str">
            <v/>
          </cell>
          <cell r="L102" t="str">
            <v/>
          </cell>
          <cell r="M102" t="str">
            <v>c</v>
          </cell>
          <cell r="N102" t="str">
            <v>1</v>
          </cell>
          <cell r="O102">
            <v>0</v>
          </cell>
        </row>
        <row r="103">
          <cell r="A103">
            <v>89</v>
          </cell>
          <cell r="J103">
            <v>0</v>
          </cell>
          <cell r="K103" t="str">
            <v/>
          </cell>
          <cell r="L103" t="str">
            <v/>
          </cell>
          <cell r="M103" t="str">
            <v>c</v>
          </cell>
          <cell r="N103" t="str">
            <v>1</v>
          </cell>
          <cell r="O103">
            <v>0</v>
          </cell>
        </row>
        <row r="104">
          <cell r="A104">
            <v>90</v>
          </cell>
          <cell r="J104">
            <v>0</v>
          </cell>
          <cell r="K104" t="str">
            <v/>
          </cell>
          <cell r="L104" t="str">
            <v/>
          </cell>
          <cell r="M104" t="str">
            <v>c</v>
          </cell>
          <cell r="N104" t="str">
            <v>1</v>
          </cell>
          <cell r="O104">
            <v>0</v>
          </cell>
        </row>
        <row r="105">
          <cell r="A105">
            <v>91</v>
          </cell>
          <cell r="J105">
            <v>0</v>
          </cell>
          <cell r="K105" t="str">
            <v/>
          </cell>
          <cell r="L105" t="str">
            <v/>
          </cell>
          <cell r="M105" t="str">
            <v>c</v>
          </cell>
          <cell r="N105" t="str">
            <v>1</v>
          </cell>
          <cell r="O105">
            <v>0</v>
          </cell>
        </row>
        <row r="106">
          <cell r="A106">
            <v>92</v>
          </cell>
          <cell r="J106">
            <v>0</v>
          </cell>
          <cell r="K106" t="str">
            <v/>
          </cell>
          <cell r="L106" t="str">
            <v/>
          </cell>
          <cell r="M106" t="str">
            <v>c</v>
          </cell>
          <cell r="N106" t="str">
            <v>1</v>
          </cell>
          <cell r="O106">
            <v>0</v>
          </cell>
        </row>
        <row r="107">
          <cell r="A107">
            <v>93</v>
          </cell>
          <cell r="J107">
            <v>0</v>
          </cell>
          <cell r="K107" t="str">
            <v/>
          </cell>
          <cell r="L107" t="str">
            <v/>
          </cell>
          <cell r="M107" t="str">
            <v>c</v>
          </cell>
          <cell r="N107" t="str">
            <v>1</v>
          </cell>
          <cell r="O107">
            <v>0</v>
          </cell>
        </row>
        <row r="108">
          <cell r="A108">
            <v>94</v>
          </cell>
          <cell r="J108">
            <v>0</v>
          </cell>
          <cell r="K108" t="str">
            <v/>
          </cell>
          <cell r="L108" t="str">
            <v/>
          </cell>
          <cell r="M108" t="str">
            <v>c</v>
          </cell>
          <cell r="N108" t="str">
            <v>1</v>
          </cell>
          <cell r="O108">
            <v>0</v>
          </cell>
        </row>
        <row r="109">
          <cell r="A109">
            <v>95</v>
          </cell>
          <cell r="J109">
            <v>0</v>
          </cell>
          <cell r="K109" t="str">
            <v/>
          </cell>
          <cell r="L109" t="str">
            <v/>
          </cell>
          <cell r="M109" t="str">
            <v>c</v>
          </cell>
          <cell r="N109" t="str">
            <v>1</v>
          </cell>
          <cell r="O109">
            <v>0</v>
          </cell>
        </row>
        <row r="110">
          <cell r="A110">
            <v>96</v>
          </cell>
          <cell r="J110">
            <v>0</v>
          </cell>
          <cell r="K110" t="str">
            <v/>
          </cell>
          <cell r="L110" t="str">
            <v/>
          </cell>
          <cell r="M110" t="str">
            <v>c</v>
          </cell>
          <cell r="N110" t="str">
            <v>1</v>
          </cell>
          <cell r="O110">
            <v>0</v>
          </cell>
        </row>
        <row r="111">
          <cell r="A111">
            <v>97</v>
          </cell>
          <cell r="J111">
            <v>0</v>
          </cell>
          <cell r="K111" t="str">
            <v/>
          </cell>
          <cell r="L111" t="str">
            <v/>
          </cell>
          <cell r="M111" t="str">
            <v>c</v>
          </cell>
          <cell r="N111" t="str">
            <v>1</v>
          </cell>
          <cell r="O111">
            <v>0</v>
          </cell>
        </row>
        <row r="112">
          <cell r="A112">
            <v>98</v>
          </cell>
          <cell r="J112">
            <v>0</v>
          </cell>
          <cell r="K112" t="str">
            <v/>
          </cell>
          <cell r="L112" t="str">
            <v/>
          </cell>
          <cell r="M112" t="str">
            <v>c</v>
          </cell>
          <cell r="N112" t="str">
            <v>1</v>
          </cell>
          <cell r="O112">
            <v>0</v>
          </cell>
        </row>
        <row r="113">
          <cell r="A113">
            <v>99</v>
          </cell>
          <cell r="J113">
            <v>0</v>
          </cell>
          <cell r="K113" t="str">
            <v/>
          </cell>
          <cell r="L113" t="str">
            <v/>
          </cell>
          <cell r="M113" t="str">
            <v>c</v>
          </cell>
          <cell r="N113" t="str">
            <v>1</v>
          </cell>
          <cell r="O113">
            <v>0</v>
          </cell>
        </row>
        <row r="114">
          <cell r="A114">
            <v>100</v>
          </cell>
          <cell r="J114">
            <v>0</v>
          </cell>
          <cell r="K114" t="str">
            <v/>
          </cell>
          <cell r="L114" t="str">
            <v/>
          </cell>
          <cell r="M114" t="str">
            <v>c</v>
          </cell>
          <cell r="N114" t="str">
            <v>1</v>
          </cell>
          <cell r="O114">
            <v>0</v>
          </cell>
        </row>
        <row r="115">
          <cell r="A115">
            <v>101</v>
          </cell>
          <cell r="J115">
            <v>0</v>
          </cell>
          <cell r="K115" t="str">
            <v/>
          </cell>
          <cell r="L115" t="str">
            <v/>
          </cell>
          <cell r="M115" t="str">
            <v>c</v>
          </cell>
          <cell r="N115" t="str">
            <v>1</v>
          </cell>
          <cell r="O115">
            <v>0</v>
          </cell>
        </row>
        <row r="116">
          <cell r="A116">
            <v>102</v>
          </cell>
          <cell r="J116">
            <v>0</v>
          </cell>
          <cell r="K116" t="str">
            <v/>
          </cell>
          <cell r="L116" t="str">
            <v/>
          </cell>
          <cell r="M116" t="str">
            <v>c</v>
          </cell>
          <cell r="N116" t="str">
            <v>1</v>
          </cell>
          <cell r="O116">
            <v>0</v>
          </cell>
        </row>
        <row r="117">
          <cell r="A117">
            <v>103</v>
          </cell>
          <cell r="J117">
            <v>0</v>
          </cell>
          <cell r="K117" t="str">
            <v/>
          </cell>
          <cell r="L117" t="str">
            <v/>
          </cell>
          <cell r="M117" t="str">
            <v>c</v>
          </cell>
          <cell r="N117" t="str">
            <v>1</v>
          </cell>
          <cell r="O117">
            <v>0</v>
          </cell>
        </row>
        <row r="118">
          <cell r="A118">
            <v>104</v>
          </cell>
          <cell r="J118">
            <v>0</v>
          </cell>
          <cell r="K118" t="str">
            <v/>
          </cell>
          <cell r="L118" t="str">
            <v/>
          </cell>
          <cell r="M118" t="str">
            <v>c</v>
          </cell>
          <cell r="N118" t="str">
            <v>1</v>
          </cell>
          <cell r="O118">
            <v>0</v>
          </cell>
        </row>
        <row r="119">
          <cell r="A119">
            <v>105</v>
          </cell>
          <cell r="J119">
            <v>0</v>
          </cell>
          <cell r="K119" t="str">
            <v/>
          </cell>
          <cell r="L119" t="str">
            <v/>
          </cell>
          <cell r="M119" t="str">
            <v>c</v>
          </cell>
          <cell r="N119" t="str">
            <v>1</v>
          </cell>
          <cell r="O119">
            <v>0</v>
          </cell>
        </row>
        <row r="120">
          <cell r="A120">
            <v>106</v>
          </cell>
          <cell r="J120">
            <v>0</v>
          </cell>
          <cell r="K120" t="str">
            <v/>
          </cell>
          <cell r="L120" t="str">
            <v/>
          </cell>
          <cell r="M120" t="str">
            <v>c</v>
          </cell>
          <cell r="N120" t="str">
            <v>1</v>
          </cell>
          <cell r="O120">
            <v>0</v>
          </cell>
        </row>
        <row r="121">
          <cell r="A121">
            <v>107</v>
          </cell>
          <cell r="J121">
            <v>0</v>
          </cell>
          <cell r="K121" t="str">
            <v/>
          </cell>
          <cell r="L121" t="str">
            <v/>
          </cell>
          <cell r="M121" t="str">
            <v>c</v>
          </cell>
          <cell r="N121" t="str">
            <v>1</v>
          </cell>
          <cell r="O121">
            <v>0</v>
          </cell>
        </row>
        <row r="122">
          <cell r="A122">
            <v>108</v>
          </cell>
          <cell r="J122">
            <v>0</v>
          </cell>
          <cell r="K122" t="str">
            <v/>
          </cell>
          <cell r="L122" t="str">
            <v/>
          </cell>
          <cell r="M122" t="str">
            <v>c</v>
          </cell>
          <cell r="N122" t="str">
            <v>1</v>
          </cell>
          <cell r="O122">
            <v>0</v>
          </cell>
        </row>
        <row r="123">
          <cell r="A123">
            <v>109</v>
          </cell>
          <cell r="J123">
            <v>0</v>
          </cell>
          <cell r="K123" t="str">
            <v/>
          </cell>
          <cell r="L123" t="str">
            <v/>
          </cell>
          <cell r="M123" t="str">
            <v>c</v>
          </cell>
          <cell r="N123" t="str">
            <v>1</v>
          </cell>
          <cell r="O123">
            <v>0</v>
          </cell>
        </row>
        <row r="124">
          <cell r="A124">
            <v>110</v>
          </cell>
          <cell r="J124">
            <v>0</v>
          </cell>
          <cell r="K124" t="str">
            <v/>
          </cell>
          <cell r="L124" t="str">
            <v/>
          </cell>
          <cell r="M124" t="str">
            <v>c</v>
          </cell>
          <cell r="N124" t="str">
            <v>1</v>
          </cell>
          <cell r="O124">
            <v>0</v>
          </cell>
        </row>
        <row r="125">
          <cell r="A125">
            <v>111</v>
          </cell>
          <cell r="J125">
            <v>0</v>
          </cell>
          <cell r="K125" t="str">
            <v/>
          </cell>
          <cell r="L125" t="str">
            <v/>
          </cell>
          <cell r="M125" t="str">
            <v>c</v>
          </cell>
          <cell r="N125" t="str">
            <v>1</v>
          </cell>
          <cell r="O125">
            <v>0</v>
          </cell>
        </row>
        <row r="126">
          <cell r="A126">
            <v>112</v>
          </cell>
          <cell r="J126">
            <v>0</v>
          </cell>
          <cell r="K126" t="str">
            <v/>
          </cell>
          <cell r="L126" t="str">
            <v/>
          </cell>
          <cell r="M126" t="str">
            <v>c</v>
          </cell>
          <cell r="N126" t="str">
            <v>1</v>
          </cell>
          <cell r="O126">
            <v>0</v>
          </cell>
        </row>
        <row r="127">
          <cell r="A127">
            <v>113</v>
          </cell>
          <cell r="J127">
            <v>0</v>
          </cell>
          <cell r="K127" t="str">
            <v/>
          </cell>
          <cell r="L127" t="str">
            <v/>
          </cell>
          <cell r="M127" t="str">
            <v>c</v>
          </cell>
          <cell r="N127" t="str">
            <v>1</v>
          </cell>
          <cell r="O127">
            <v>0</v>
          </cell>
        </row>
        <row r="128">
          <cell r="A128">
            <v>114</v>
          </cell>
          <cell r="J128">
            <v>0</v>
          </cell>
          <cell r="K128" t="str">
            <v/>
          </cell>
          <cell r="L128" t="str">
            <v/>
          </cell>
          <cell r="M128" t="str">
            <v>c</v>
          </cell>
          <cell r="N128" t="str">
            <v>1</v>
          </cell>
          <cell r="O128">
            <v>0</v>
          </cell>
        </row>
        <row r="129">
          <cell r="A129">
            <v>115</v>
          </cell>
          <cell r="J129">
            <v>0</v>
          </cell>
          <cell r="K129" t="str">
            <v/>
          </cell>
          <cell r="L129" t="str">
            <v/>
          </cell>
          <cell r="M129" t="str">
            <v>c</v>
          </cell>
          <cell r="N129" t="str">
            <v>1</v>
          </cell>
          <cell r="O129">
            <v>0</v>
          </cell>
        </row>
        <row r="130">
          <cell r="A130">
            <v>116</v>
          </cell>
          <cell r="J130">
            <v>0</v>
          </cell>
          <cell r="K130" t="str">
            <v/>
          </cell>
          <cell r="L130" t="str">
            <v/>
          </cell>
          <cell r="M130" t="str">
            <v>c</v>
          </cell>
          <cell r="N130" t="str">
            <v>1</v>
          </cell>
          <cell r="O130">
            <v>0</v>
          </cell>
        </row>
        <row r="131">
          <cell r="A131">
            <v>117</v>
          </cell>
          <cell r="J131">
            <v>0</v>
          </cell>
          <cell r="K131" t="str">
            <v/>
          </cell>
          <cell r="L131" t="str">
            <v/>
          </cell>
          <cell r="M131" t="str">
            <v>c</v>
          </cell>
          <cell r="N131" t="str">
            <v>1</v>
          </cell>
          <cell r="O131">
            <v>0</v>
          </cell>
        </row>
        <row r="132">
          <cell r="A132">
            <v>118</v>
          </cell>
          <cell r="J132">
            <v>0</v>
          </cell>
          <cell r="K132" t="str">
            <v/>
          </cell>
          <cell r="L132" t="str">
            <v/>
          </cell>
          <cell r="M132" t="str">
            <v>c</v>
          </cell>
          <cell r="N132" t="str">
            <v>1</v>
          </cell>
          <cell r="O132">
            <v>0</v>
          </cell>
        </row>
        <row r="133">
          <cell r="A133">
            <v>119</v>
          </cell>
          <cell r="J133">
            <v>0</v>
          </cell>
          <cell r="K133" t="str">
            <v/>
          </cell>
          <cell r="L133" t="str">
            <v/>
          </cell>
          <cell r="M133" t="str">
            <v>c</v>
          </cell>
          <cell r="N133" t="str">
            <v>1</v>
          </cell>
          <cell r="O133">
            <v>0</v>
          </cell>
        </row>
        <row r="134">
          <cell r="A134">
            <v>120</v>
          </cell>
          <cell r="J134">
            <v>0</v>
          </cell>
          <cell r="K134" t="str">
            <v/>
          </cell>
          <cell r="L134" t="str">
            <v/>
          </cell>
          <cell r="M134" t="str">
            <v>c</v>
          </cell>
          <cell r="N134" t="str">
            <v>1</v>
          </cell>
          <cell r="O134">
            <v>0</v>
          </cell>
        </row>
        <row r="135">
          <cell r="A135">
            <v>121</v>
          </cell>
          <cell r="J135">
            <v>0</v>
          </cell>
          <cell r="K135" t="str">
            <v/>
          </cell>
          <cell r="L135" t="str">
            <v/>
          </cell>
          <cell r="M135" t="str">
            <v>c</v>
          </cell>
          <cell r="N135" t="str">
            <v>1</v>
          </cell>
          <cell r="O135">
            <v>0</v>
          </cell>
        </row>
        <row r="136">
          <cell r="A136">
            <v>122</v>
          </cell>
          <cell r="J136">
            <v>0</v>
          </cell>
          <cell r="K136" t="str">
            <v/>
          </cell>
          <cell r="L136" t="str">
            <v/>
          </cell>
          <cell r="M136" t="str">
            <v>c</v>
          </cell>
          <cell r="N136" t="str">
            <v>1</v>
          </cell>
          <cell r="O136">
            <v>0</v>
          </cell>
        </row>
        <row r="137">
          <cell r="A137">
            <v>123</v>
          </cell>
          <cell r="J137">
            <v>0</v>
          </cell>
          <cell r="K137" t="str">
            <v/>
          </cell>
          <cell r="L137" t="str">
            <v/>
          </cell>
          <cell r="M137" t="str">
            <v>c</v>
          </cell>
          <cell r="N137" t="str">
            <v>1</v>
          </cell>
          <cell r="O137">
            <v>0</v>
          </cell>
        </row>
        <row r="138">
          <cell r="A138">
            <v>124</v>
          </cell>
          <cell r="J138">
            <v>0</v>
          </cell>
          <cell r="K138" t="str">
            <v/>
          </cell>
          <cell r="L138" t="str">
            <v/>
          </cell>
          <cell r="M138" t="str">
            <v>c</v>
          </cell>
          <cell r="N138" t="str">
            <v>1</v>
          </cell>
          <cell r="O138">
            <v>0</v>
          </cell>
        </row>
        <row r="139">
          <cell r="A139">
            <v>125</v>
          </cell>
          <cell r="J139">
            <v>0</v>
          </cell>
          <cell r="K139" t="str">
            <v/>
          </cell>
          <cell r="L139" t="str">
            <v/>
          </cell>
          <cell r="M139" t="str">
            <v>c</v>
          </cell>
          <cell r="N139" t="str">
            <v>1</v>
          </cell>
          <cell r="O139">
            <v>0</v>
          </cell>
        </row>
        <row r="140">
          <cell r="A140">
            <v>126</v>
          </cell>
          <cell r="J140">
            <v>0</v>
          </cell>
          <cell r="K140" t="str">
            <v/>
          </cell>
          <cell r="L140" t="str">
            <v/>
          </cell>
          <cell r="M140" t="str">
            <v>c</v>
          </cell>
          <cell r="N140" t="str">
            <v>1</v>
          </cell>
          <cell r="O140">
            <v>0</v>
          </cell>
        </row>
        <row r="141">
          <cell r="A141">
            <v>127</v>
          </cell>
          <cell r="J141">
            <v>0</v>
          </cell>
          <cell r="K141" t="str">
            <v/>
          </cell>
          <cell r="L141" t="str">
            <v/>
          </cell>
          <cell r="M141" t="str">
            <v>c</v>
          </cell>
          <cell r="N141" t="str">
            <v>1</v>
          </cell>
          <cell r="O141">
            <v>0</v>
          </cell>
        </row>
        <row r="142">
          <cell r="A142">
            <v>128</v>
          </cell>
          <cell r="J142">
            <v>0</v>
          </cell>
          <cell r="K142" t="str">
            <v/>
          </cell>
          <cell r="L142" t="str">
            <v/>
          </cell>
          <cell r="M142" t="str">
            <v>c</v>
          </cell>
          <cell r="N142" t="str">
            <v>1</v>
          </cell>
          <cell r="O142">
            <v>0</v>
          </cell>
        </row>
        <row r="143">
          <cell r="A143">
            <v>129</v>
          </cell>
          <cell r="J143">
            <v>0</v>
          </cell>
          <cell r="K143" t="str">
            <v/>
          </cell>
          <cell r="L143" t="str">
            <v/>
          </cell>
          <cell r="M143" t="str">
            <v>c</v>
          </cell>
          <cell r="N143" t="str">
            <v>1</v>
          </cell>
          <cell r="O143">
            <v>0</v>
          </cell>
        </row>
        <row r="144">
          <cell r="A144">
            <v>130</v>
          </cell>
          <cell r="J144">
            <v>0</v>
          </cell>
          <cell r="K144" t="str">
            <v/>
          </cell>
          <cell r="L144" t="str">
            <v/>
          </cell>
          <cell r="M144" t="str">
            <v>c</v>
          </cell>
          <cell r="N144" t="str">
            <v>1</v>
          </cell>
          <cell r="O144">
            <v>0</v>
          </cell>
        </row>
        <row r="145">
          <cell r="A145">
            <v>131</v>
          </cell>
          <cell r="J145">
            <v>0</v>
          </cell>
          <cell r="K145" t="str">
            <v/>
          </cell>
          <cell r="L145" t="str">
            <v/>
          </cell>
          <cell r="M145" t="str">
            <v>c</v>
          </cell>
          <cell r="N145" t="str">
            <v>1</v>
          </cell>
          <cell r="O145">
            <v>0</v>
          </cell>
        </row>
        <row r="146">
          <cell r="A146">
            <v>132</v>
          </cell>
          <cell r="J146">
            <v>0</v>
          </cell>
          <cell r="K146" t="str">
            <v/>
          </cell>
          <cell r="L146" t="str">
            <v/>
          </cell>
          <cell r="M146" t="str">
            <v>c</v>
          </cell>
          <cell r="N146" t="str">
            <v>1</v>
          </cell>
          <cell r="O146">
            <v>0</v>
          </cell>
        </row>
        <row r="147">
          <cell r="A147">
            <v>133</v>
          </cell>
          <cell r="J147">
            <v>0</v>
          </cell>
          <cell r="K147" t="str">
            <v/>
          </cell>
          <cell r="L147" t="str">
            <v/>
          </cell>
          <cell r="M147" t="str">
            <v>c</v>
          </cell>
          <cell r="N147" t="str">
            <v>1</v>
          </cell>
          <cell r="O147">
            <v>0</v>
          </cell>
        </row>
        <row r="148">
          <cell r="A148">
            <v>134</v>
          </cell>
          <cell r="J148">
            <v>0</v>
          </cell>
          <cell r="K148" t="str">
            <v/>
          </cell>
          <cell r="L148" t="str">
            <v/>
          </cell>
          <cell r="M148" t="str">
            <v>c</v>
          </cell>
          <cell r="N148" t="str">
            <v>1</v>
          </cell>
          <cell r="O148">
            <v>0</v>
          </cell>
        </row>
        <row r="149">
          <cell r="A149">
            <v>135</v>
          </cell>
          <cell r="J149">
            <v>0</v>
          </cell>
          <cell r="K149" t="str">
            <v/>
          </cell>
          <cell r="L149" t="str">
            <v/>
          </cell>
          <cell r="M149" t="str">
            <v>c</v>
          </cell>
          <cell r="N149" t="str">
            <v>1</v>
          </cell>
          <cell r="O149">
            <v>0</v>
          </cell>
        </row>
        <row r="150">
          <cell r="A150">
            <v>136</v>
          </cell>
          <cell r="J150">
            <v>0</v>
          </cell>
          <cell r="K150" t="str">
            <v/>
          </cell>
          <cell r="L150" t="str">
            <v/>
          </cell>
          <cell r="M150" t="str">
            <v>c</v>
          </cell>
          <cell r="N150" t="str">
            <v>1</v>
          </cell>
          <cell r="O150">
            <v>0</v>
          </cell>
        </row>
        <row r="151">
          <cell r="A151">
            <v>137</v>
          </cell>
          <cell r="J151">
            <v>0</v>
          </cell>
          <cell r="K151" t="str">
            <v/>
          </cell>
          <cell r="L151" t="str">
            <v/>
          </cell>
          <cell r="M151" t="str">
            <v>c</v>
          </cell>
          <cell r="N151" t="str">
            <v>1</v>
          </cell>
          <cell r="O151">
            <v>0</v>
          </cell>
        </row>
        <row r="152">
          <cell r="A152">
            <v>138</v>
          </cell>
          <cell r="J152">
            <v>0</v>
          </cell>
          <cell r="K152" t="str">
            <v/>
          </cell>
          <cell r="L152" t="str">
            <v/>
          </cell>
          <cell r="M152" t="str">
            <v>c</v>
          </cell>
          <cell r="N152" t="str">
            <v>1</v>
          </cell>
          <cell r="O152">
            <v>0</v>
          </cell>
        </row>
        <row r="153">
          <cell r="A153">
            <v>139</v>
          </cell>
          <cell r="J153">
            <v>0</v>
          </cell>
          <cell r="K153" t="str">
            <v/>
          </cell>
          <cell r="L153" t="str">
            <v/>
          </cell>
          <cell r="M153" t="str">
            <v>c</v>
          </cell>
          <cell r="N153" t="str">
            <v>1</v>
          </cell>
          <cell r="O153">
            <v>0</v>
          </cell>
        </row>
        <row r="154">
          <cell r="A154">
            <v>140</v>
          </cell>
          <cell r="J154">
            <v>0</v>
          </cell>
          <cell r="K154" t="str">
            <v/>
          </cell>
          <cell r="L154" t="str">
            <v/>
          </cell>
          <cell r="M154" t="str">
            <v>c</v>
          </cell>
          <cell r="N154" t="str">
            <v>1</v>
          </cell>
          <cell r="O154">
            <v>0</v>
          </cell>
        </row>
        <row r="155">
          <cell r="A155">
            <v>141</v>
          </cell>
          <cell r="J155">
            <v>0</v>
          </cell>
          <cell r="K155" t="str">
            <v/>
          </cell>
          <cell r="L155" t="str">
            <v/>
          </cell>
          <cell r="M155" t="str">
            <v>c</v>
          </cell>
          <cell r="N155" t="str">
            <v>1</v>
          </cell>
          <cell r="O155">
            <v>0</v>
          </cell>
        </row>
        <row r="156">
          <cell r="A156">
            <v>142</v>
          </cell>
          <cell r="J156">
            <v>0</v>
          </cell>
          <cell r="K156" t="str">
            <v/>
          </cell>
          <cell r="L156" t="str">
            <v/>
          </cell>
          <cell r="M156" t="str">
            <v>c</v>
          </cell>
          <cell r="N156" t="str">
            <v>1</v>
          </cell>
          <cell r="O156">
            <v>0</v>
          </cell>
        </row>
        <row r="157">
          <cell r="A157">
            <v>143</v>
          </cell>
          <cell r="J157">
            <v>0</v>
          </cell>
          <cell r="K157" t="str">
            <v/>
          </cell>
          <cell r="L157" t="str">
            <v/>
          </cell>
          <cell r="M157" t="str">
            <v>c</v>
          </cell>
          <cell r="N157" t="str">
            <v>1</v>
          </cell>
          <cell r="O157">
            <v>0</v>
          </cell>
        </row>
        <row r="158">
          <cell r="A158">
            <v>144</v>
          </cell>
          <cell r="J158">
            <v>0</v>
          </cell>
          <cell r="K158" t="str">
            <v/>
          </cell>
          <cell r="L158" t="str">
            <v/>
          </cell>
          <cell r="M158" t="str">
            <v>c</v>
          </cell>
          <cell r="N158" t="str">
            <v>1</v>
          </cell>
          <cell r="O158">
            <v>0</v>
          </cell>
        </row>
        <row r="159">
          <cell r="A159">
            <v>145</v>
          </cell>
          <cell r="J159">
            <v>0</v>
          </cell>
          <cell r="K159" t="str">
            <v/>
          </cell>
          <cell r="L159" t="str">
            <v/>
          </cell>
          <cell r="M159" t="str">
            <v>c</v>
          </cell>
          <cell r="N159" t="str">
            <v>1</v>
          </cell>
          <cell r="O159">
            <v>0</v>
          </cell>
        </row>
        <row r="160">
          <cell r="A160">
            <v>146</v>
          </cell>
          <cell r="J160">
            <v>0</v>
          </cell>
          <cell r="K160" t="str">
            <v/>
          </cell>
          <cell r="L160" t="str">
            <v/>
          </cell>
          <cell r="M160" t="str">
            <v>c</v>
          </cell>
          <cell r="N160" t="str">
            <v>1</v>
          </cell>
          <cell r="O160">
            <v>0</v>
          </cell>
        </row>
        <row r="161">
          <cell r="A161">
            <v>147</v>
          </cell>
          <cell r="J161">
            <v>0</v>
          </cell>
          <cell r="K161" t="str">
            <v/>
          </cell>
          <cell r="L161" t="str">
            <v/>
          </cell>
          <cell r="M161" t="str">
            <v>c</v>
          </cell>
          <cell r="N161" t="str">
            <v>1</v>
          </cell>
          <cell r="O161">
            <v>0</v>
          </cell>
        </row>
        <row r="162">
          <cell r="A162">
            <v>148</v>
          </cell>
          <cell r="J162">
            <v>0</v>
          </cell>
          <cell r="K162" t="str">
            <v/>
          </cell>
          <cell r="L162" t="str">
            <v/>
          </cell>
          <cell r="M162" t="str">
            <v>c</v>
          </cell>
          <cell r="N162" t="str">
            <v>1</v>
          </cell>
          <cell r="O162">
            <v>0</v>
          </cell>
        </row>
        <row r="163">
          <cell r="A163">
            <v>149</v>
          </cell>
          <cell r="J163">
            <v>0</v>
          </cell>
          <cell r="K163" t="str">
            <v/>
          </cell>
          <cell r="L163" t="str">
            <v/>
          </cell>
          <cell r="M163" t="str">
            <v>c</v>
          </cell>
          <cell r="N163" t="str">
            <v>1</v>
          </cell>
          <cell r="O163">
            <v>0</v>
          </cell>
        </row>
        <row r="164">
          <cell r="A164">
            <v>150</v>
          </cell>
          <cell r="J164">
            <v>0</v>
          </cell>
          <cell r="K164" t="str">
            <v/>
          </cell>
          <cell r="L164" t="str">
            <v/>
          </cell>
          <cell r="M164" t="str">
            <v>c</v>
          </cell>
          <cell r="N164" t="str">
            <v>1</v>
          </cell>
          <cell r="O164">
            <v>0</v>
          </cell>
        </row>
        <row r="165">
          <cell r="A165">
            <v>151</v>
          </cell>
          <cell r="J165">
            <v>0</v>
          </cell>
          <cell r="K165" t="str">
            <v/>
          </cell>
          <cell r="L165" t="str">
            <v/>
          </cell>
          <cell r="M165" t="str">
            <v>c</v>
          </cell>
          <cell r="N165" t="str">
            <v>1</v>
          </cell>
          <cell r="O165">
            <v>0</v>
          </cell>
        </row>
        <row r="166">
          <cell r="A166">
            <v>152</v>
          </cell>
          <cell r="J166">
            <v>0</v>
          </cell>
          <cell r="K166" t="str">
            <v/>
          </cell>
          <cell r="L166" t="str">
            <v/>
          </cell>
          <cell r="M166" t="str">
            <v>c</v>
          </cell>
          <cell r="N166" t="str">
            <v>1</v>
          </cell>
          <cell r="O166">
            <v>0</v>
          </cell>
        </row>
        <row r="167">
          <cell r="A167">
            <v>153</v>
          </cell>
          <cell r="J167">
            <v>0</v>
          </cell>
          <cell r="K167" t="str">
            <v/>
          </cell>
          <cell r="L167" t="str">
            <v/>
          </cell>
          <cell r="M167" t="str">
            <v>c</v>
          </cell>
          <cell r="N167" t="str">
            <v>1</v>
          </cell>
          <cell r="O167">
            <v>0</v>
          </cell>
        </row>
        <row r="168">
          <cell r="A168">
            <v>154</v>
          </cell>
          <cell r="J168">
            <v>0</v>
          </cell>
          <cell r="K168" t="str">
            <v/>
          </cell>
          <cell r="L168" t="str">
            <v/>
          </cell>
          <cell r="M168" t="str">
            <v>c</v>
          </cell>
          <cell r="N168" t="str">
            <v>1</v>
          </cell>
          <cell r="O168">
            <v>0</v>
          </cell>
        </row>
        <row r="169">
          <cell r="A169">
            <v>155</v>
          </cell>
          <cell r="J169">
            <v>0</v>
          </cell>
          <cell r="K169" t="str">
            <v/>
          </cell>
          <cell r="L169" t="str">
            <v/>
          </cell>
          <cell r="M169" t="str">
            <v>c</v>
          </cell>
          <cell r="N169" t="str">
            <v>1</v>
          </cell>
          <cell r="O169">
            <v>0</v>
          </cell>
        </row>
        <row r="170">
          <cell r="A170">
            <v>156</v>
          </cell>
          <cell r="J170">
            <v>0</v>
          </cell>
          <cell r="K170" t="str">
            <v/>
          </cell>
          <cell r="L170" t="str">
            <v/>
          </cell>
          <cell r="M170" t="str">
            <v>c</v>
          </cell>
          <cell r="N170" t="str">
            <v>1</v>
          </cell>
          <cell r="O170">
            <v>0</v>
          </cell>
        </row>
        <row r="171">
          <cell r="A171">
            <v>157</v>
          </cell>
          <cell r="J171">
            <v>0</v>
          </cell>
          <cell r="K171" t="str">
            <v/>
          </cell>
          <cell r="L171" t="str">
            <v/>
          </cell>
          <cell r="M171" t="str">
            <v>c</v>
          </cell>
          <cell r="N171" t="str">
            <v>1</v>
          </cell>
          <cell r="O171">
            <v>0</v>
          </cell>
        </row>
        <row r="172">
          <cell r="A172">
            <v>158</v>
          </cell>
          <cell r="J172">
            <v>0</v>
          </cell>
          <cell r="K172" t="str">
            <v/>
          </cell>
          <cell r="L172" t="str">
            <v/>
          </cell>
          <cell r="M172" t="str">
            <v>c</v>
          </cell>
          <cell r="N172" t="str">
            <v>1</v>
          </cell>
          <cell r="O172">
            <v>0</v>
          </cell>
        </row>
        <row r="173">
          <cell r="A173">
            <v>159</v>
          </cell>
          <cell r="J173">
            <v>0</v>
          </cell>
          <cell r="K173" t="str">
            <v/>
          </cell>
          <cell r="L173" t="str">
            <v/>
          </cell>
          <cell r="M173" t="str">
            <v>c</v>
          </cell>
          <cell r="N173" t="str">
            <v>1</v>
          </cell>
          <cell r="O173">
            <v>0</v>
          </cell>
        </row>
        <row r="174">
          <cell r="A174">
            <v>160</v>
          </cell>
          <cell r="J174">
            <v>0</v>
          </cell>
          <cell r="K174" t="str">
            <v/>
          </cell>
          <cell r="L174" t="str">
            <v/>
          </cell>
          <cell r="M174" t="str">
            <v>c</v>
          </cell>
          <cell r="N174" t="str">
            <v>1</v>
          </cell>
          <cell r="O174">
            <v>0</v>
          </cell>
        </row>
        <row r="175">
          <cell r="A175">
            <v>161</v>
          </cell>
          <cell r="J175">
            <v>0</v>
          </cell>
          <cell r="K175" t="str">
            <v/>
          </cell>
          <cell r="L175" t="str">
            <v/>
          </cell>
          <cell r="M175" t="str">
            <v>c</v>
          </cell>
          <cell r="N175" t="str">
            <v>1</v>
          </cell>
          <cell r="O175">
            <v>0</v>
          </cell>
        </row>
        <row r="176">
          <cell r="A176">
            <v>162</v>
          </cell>
          <cell r="J176">
            <v>0</v>
          </cell>
          <cell r="K176" t="str">
            <v/>
          </cell>
          <cell r="L176" t="str">
            <v/>
          </cell>
          <cell r="M176" t="str">
            <v>c</v>
          </cell>
          <cell r="N176" t="str">
            <v>1</v>
          </cell>
          <cell r="O176">
            <v>0</v>
          </cell>
        </row>
        <row r="177">
          <cell r="A177">
            <v>163</v>
          </cell>
          <cell r="J177">
            <v>0</v>
          </cell>
          <cell r="K177" t="str">
            <v/>
          </cell>
          <cell r="L177" t="str">
            <v/>
          </cell>
          <cell r="M177" t="str">
            <v>c</v>
          </cell>
          <cell r="N177" t="str">
            <v>1</v>
          </cell>
          <cell r="O177">
            <v>0</v>
          </cell>
        </row>
        <row r="178">
          <cell r="A178">
            <v>164</v>
          </cell>
          <cell r="J178">
            <v>0</v>
          </cell>
          <cell r="K178" t="str">
            <v/>
          </cell>
          <cell r="L178" t="str">
            <v/>
          </cell>
          <cell r="M178" t="str">
            <v>c</v>
          </cell>
          <cell r="N178" t="str">
            <v>1</v>
          </cell>
          <cell r="O178">
            <v>0</v>
          </cell>
        </row>
        <row r="179">
          <cell r="A179">
            <v>165</v>
          </cell>
          <cell r="J179">
            <v>0</v>
          </cell>
          <cell r="K179" t="str">
            <v/>
          </cell>
          <cell r="L179" t="str">
            <v/>
          </cell>
          <cell r="M179" t="str">
            <v>c</v>
          </cell>
          <cell r="N179" t="str">
            <v>1</v>
          </cell>
          <cell r="O179">
            <v>0</v>
          </cell>
        </row>
        <row r="180">
          <cell r="A180">
            <v>166</v>
          </cell>
          <cell r="J180">
            <v>0</v>
          </cell>
          <cell r="K180" t="str">
            <v/>
          </cell>
          <cell r="L180" t="str">
            <v/>
          </cell>
          <cell r="M180" t="str">
            <v>c</v>
          </cell>
          <cell r="N180" t="str">
            <v>1</v>
          </cell>
          <cell r="O180">
            <v>0</v>
          </cell>
        </row>
        <row r="181">
          <cell r="A181">
            <v>167</v>
          </cell>
          <cell r="J181">
            <v>0</v>
          </cell>
          <cell r="K181" t="str">
            <v/>
          </cell>
          <cell r="L181" t="str">
            <v/>
          </cell>
          <cell r="M181" t="str">
            <v>c</v>
          </cell>
          <cell r="N181" t="str">
            <v>1</v>
          </cell>
          <cell r="O181">
            <v>0</v>
          </cell>
        </row>
        <row r="182">
          <cell r="A182">
            <v>168</v>
          </cell>
          <cell r="J182">
            <v>0</v>
          </cell>
          <cell r="K182" t="str">
            <v/>
          </cell>
          <cell r="L182" t="str">
            <v/>
          </cell>
          <cell r="M182" t="str">
            <v>c</v>
          </cell>
          <cell r="N182" t="str">
            <v>1</v>
          </cell>
          <cell r="O182">
            <v>0</v>
          </cell>
        </row>
        <row r="183">
          <cell r="A183">
            <v>169</v>
          </cell>
          <cell r="J183">
            <v>0</v>
          </cell>
          <cell r="K183" t="str">
            <v/>
          </cell>
          <cell r="L183" t="str">
            <v/>
          </cell>
          <cell r="M183" t="str">
            <v>c</v>
          </cell>
          <cell r="N183" t="str">
            <v>1</v>
          </cell>
          <cell r="O183">
            <v>0</v>
          </cell>
        </row>
        <row r="184">
          <cell r="A184">
            <v>170</v>
          </cell>
          <cell r="J184">
            <v>0</v>
          </cell>
          <cell r="K184" t="str">
            <v/>
          </cell>
          <cell r="L184" t="str">
            <v/>
          </cell>
          <cell r="M184" t="str">
            <v>c</v>
          </cell>
          <cell r="N184" t="str">
            <v>1</v>
          </cell>
          <cell r="O184">
            <v>0</v>
          </cell>
        </row>
        <row r="185">
          <cell r="A185">
            <v>171</v>
          </cell>
          <cell r="J185">
            <v>0</v>
          </cell>
          <cell r="K185" t="str">
            <v/>
          </cell>
          <cell r="L185" t="str">
            <v/>
          </cell>
          <cell r="M185" t="str">
            <v>c</v>
          </cell>
          <cell r="N185" t="str">
            <v>1</v>
          </cell>
          <cell r="O185">
            <v>0</v>
          </cell>
        </row>
        <row r="186">
          <cell r="A186">
            <v>172</v>
          </cell>
          <cell r="J186">
            <v>0</v>
          </cell>
          <cell r="K186" t="str">
            <v/>
          </cell>
          <cell r="L186" t="str">
            <v/>
          </cell>
          <cell r="M186" t="str">
            <v>c</v>
          </cell>
          <cell r="N186" t="str">
            <v>1</v>
          </cell>
          <cell r="O186">
            <v>0</v>
          </cell>
        </row>
        <row r="187">
          <cell r="A187">
            <v>173</v>
          </cell>
          <cell r="J187">
            <v>0</v>
          </cell>
          <cell r="K187" t="str">
            <v/>
          </cell>
          <cell r="L187" t="str">
            <v/>
          </cell>
          <cell r="M187" t="str">
            <v>c</v>
          </cell>
          <cell r="N187" t="str">
            <v>1</v>
          </cell>
          <cell r="O187">
            <v>0</v>
          </cell>
        </row>
        <row r="188">
          <cell r="A188">
            <v>174</v>
          </cell>
          <cell r="J188">
            <v>0</v>
          </cell>
          <cell r="K188" t="str">
            <v/>
          </cell>
          <cell r="L188" t="str">
            <v/>
          </cell>
          <cell r="M188" t="str">
            <v>c</v>
          </cell>
          <cell r="N188" t="str">
            <v>1</v>
          </cell>
          <cell r="O188">
            <v>0</v>
          </cell>
        </row>
        <row r="189">
          <cell r="A189">
            <v>175</v>
          </cell>
          <cell r="J189">
            <v>0</v>
          </cell>
          <cell r="K189" t="str">
            <v/>
          </cell>
          <cell r="L189" t="str">
            <v/>
          </cell>
          <cell r="M189" t="str">
            <v>c</v>
          </cell>
          <cell r="N189" t="str">
            <v>1</v>
          </cell>
          <cell r="O189">
            <v>0</v>
          </cell>
        </row>
        <row r="190">
          <cell r="A190">
            <v>176</v>
          </cell>
          <cell r="J190">
            <v>0</v>
          </cell>
          <cell r="K190" t="str">
            <v/>
          </cell>
          <cell r="L190" t="str">
            <v/>
          </cell>
          <cell r="M190" t="str">
            <v>c</v>
          </cell>
          <cell r="N190" t="str">
            <v>1</v>
          </cell>
          <cell r="O190">
            <v>0</v>
          </cell>
        </row>
        <row r="191">
          <cell r="A191">
            <v>177</v>
          </cell>
          <cell r="J191">
            <v>0</v>
          </cell>
          <cell r="K191" t="str">
            <v/>
          </cell>
          <cell r="L191" t="str">
            <v/>
          </cell>
          <cell r="M191" t="str">
            <v>c</v>
          </cell>
          <cell r="N191" t="str">
            <v>1</v>
          </cell>
          <cell r="O191">
            <v>0</v>
          </cell>
        </row>
        <row r="192">
          <cell r="A192">
            <v>178</v>
          </cell>
          <cell r="J192">
            <v>0</v>
          </cell>
          <cell r="K192" t="str">
            <v/>
          </cell>
          <cell r="L192" t="str">
            <v/>
          </cell>
          <cell r="M192" t="str">
            <v>c</v>
          </cell>
          <cell r="N192" t="str">
            <v>1</v>
          </cell>
          <cell r="O192">
            <v>0</v>
          </cell>
        </row>
        <row r="193">
          <cell r="A193">
            <v>179</v>
          </cell>
          <cell r="J193">
            <v>0</v>
          </cell>
          <cell r="K193" t="str">
            <v/>
          </cell>
          <cell r="L193" t="str">
            <v/>
          </cell>
          <cell r="M193" t="str">
            <v>c</v>
          </cell>
          <cell r="N193" t="str">
            <v>1</v>
          </cell>
          <cell r="O193">
            <v>0</v>
          </cell>
          <cell r="U193" t="e">
            <v>#REF!</v>
          </cell>
        </row>
        <row r="194">
          <cell r="A194">
            <v>180</v>
          </cell>
          <cell r="J194">
            <v>0</v>
          </cell>
          <cell r="K194" t="str">
            <v/>
          </cell>
          <cell r="L194" t="str">
            <v/>
          </cell>
          <cell r="M194" t="str">
            <v>c</v>
          </cell>
          <cell r="N194" t="str">
            <v>1</v>
          </cell>
          <cell r="O194">
            <v>0</v>
          </cell>
        </row>
        <row r="195">
          <cell r="A195">
            <v>181</v>
          </cell>
          <cell r="J195">
            <v>0</v>
          </cell>
          <cell r="K195" t="str">
            <v/>
          </cell>
          <cell r="L195" t="str">
            <v/>
          </cell>
          <cell r="M195" t="str">
            <v>c</v>
          </cell>
          <cell r="N195" t="str">
            <v>1</v>
          </cell>
          <cell r="O195">
            <v>0</v>
          </cell>
        </row>
        <row r="196">
          <cell r="A196">
            <v>182</v>
          </cell>
          <cell r="J196">
            <v>0</v>
          </cell>
          <cell r="K196" t="str">
            <v/>
          </cell>
          <cell r="L196" t="str">
            <v/>
          </cell>
          <cell r="M196" t="str">
            <v>c</v>
          </cell>
          <cell r="N196" t="str">
            <v>1</v>
          </cell>
          <cell r="O196">
            <v>0</v>
          </cell>
        </row>
        <row r="197">
          <cell r="A197">
            <v>183</v>
          </cell>
          <cell r="J197">
            <v>0</v>
          </cell>
          <cell r="K197" t="str">
            <v/>
          </cell>
          <cell r="L197" t="str">
            <v/>
          </cell>
          <cell r="M197" t="str">
            <v>c</v>
          </cell>
          <cell r="N197" t="str">
            <v>1</v>
          </cell>
          <cell r="O197">
            <v>0</v>
          </cell>
        </row>
        <row r="198">
          <cell r="A198">
            <v>184</v>
          </cell>
          <cell r="J198">
            <v>0</v>
          </cell>
          <cell r="K198" t="str">
            <v/>
          </cell>
          <cell r="L198" t="str">
            <v/>
          </cell>
          <cell r="M198" t="str">
            <v>c</v>
          </cell>
          <cell r="N198" t="str">
            <v>1</v>
          </cell>
          <cell r="O198">
            <v>0</v>
          </cell>
        </row>
        <row r="199">
          <cell r="A199">
            <v>185</v>
          </cell>
          <cell r="J199">
            <v>0</v>
          </cell>
          <cell r="K199" t="str">
            <v/>
          </cell>
          <cell r="L199" t="str">
            <v/>
          </cell>
          <cell r="M199" t="str">
            <v>c</v>
          </cell>
          <cell r="N199" t="str">
            <v>1</v>
          </cell>
          <cell r="O199">
            <v>0</v>
          </cell>
        </row>
        <row r="200">
          <cell r="A200">
            <v>186</v>
          </cell>
          <cell r="J200">
            <v>0</v>
          </cell>
          <cell r="K200" t="str">
            <v/>
          </cell>
          <cell r="L200" t="str">
            <v/>
          </cell>
          <cell r="M200" t="str">
            <v>c</v>
          </cell>
          <cell r="N200" t="str">
            <v>1</v>
          </cell>
          <cell r="O200">
            <v>0</v>
          </cell>
        </row>
        <row r="201">
          <cell r="A201">
            <v>187</v>
          </cell>
          <cell r="J201">
            <v>0</v>
          </cell>
          <cell r="K201" t="str">
            <v/>
          </cell>
          <cell r="L201" t="str">
            <v/>
          </cell>
          <cell r="M201" t="str">
            <v>c</v>
          </cell>
          <cell r="N201" t="str">
            <v>1</v>
          </cell>
          <cell r="O201">
            <v>0</v>
          </cell>
        </row>
        <row r="202">
          <cell r="A202">
            <v>188</v>
          </cell>
          <cell r="J202">
            <v>0</v>
          </cell>
          <cell r="K202" t="str">
            <v/>
          </cell>
          <cell r="L202" t="str">
            <v/>
          </cell>
          <cell r="M202" t="str">
            <v>c</v>
          </cell>
          <cell r="N202" t="str">
            <v>1</v>
          </cell>
          <cell r="O202">
            <v>0</v>
          </cell>
        </row>
        <row r="203">
          <cell r="A203">
            <v>189</v>
          </cell>
          <cell r="J203">
            <v>0</v>
          </cell>
          <cell r="K203" t="str">
            <v/>
          </cell>
          <cell r="L203" t="str">
            <v/>
          </cell>
          <cell r="M203" t="str">
            <v>c</v>
          </cell>
          <cell r="N203" t="str">
            <v>1</v>
          </cell>
          <cell r="O203">
            <v>0</v>
          </cell>
        </row>
        <row r="204">
          <cell r="A204">
            <v>190</v>
          </cell>
          <cell r="J204">
            <v>0</v>
          </cell>
          <cell r="K204" t="str">
            <v/>
          </cell>
          <cell r="L204" t="str">
            <v/>
          </cell>
          <cell r="M204" t="str">
            <v>c</v>
          </cell>
          <cell r="N204" t="str">
            <v>1</v>
          </cell>
          <cell r="O204">
            <v>0</v>
          </cell>
        </row>
        <row r="205">
          <cell r="A205">
            <v>191</v>
          </cell>
          <cell r="J205">
            <v>0</v>
          </cell>
          <cell r="K205" t="str">
            <v/>
          </cell>
          <cell r="L205" t="str">
            <v/>
          </cell>
          <cell r="M205" t="str">
            <v>c</v>
          </cell>
          <cell r="N205" t="str">
            <v>1</v>
          </cell>
          <cell r="O205">
            <v>0</v>
          </cell>
        </row>
        <row r="206">
          <cell r="A206">
            <v>192</v>
          </cell>
          <cell r="J206">
            <v>0</v>
          </cell>
          <cell r="K206" t="str">
            <v/>
          </cell>
          <cell r="L206" t="str">
            <v/>
          </cell>
          <cell r="M206" t="str">
            <v>c</v>
          </cell>
          <cell r="N206" t="str">
            <v>1</v>
          </cell>
          <cell r="O206">
            <v>0</v>
          </cell>
        </row>
        <row r="207">
          <cell r="A207">
            <v>193</v>
          </cell>
          <cell r="J207">
            <v>0</v>
          </cell>
          <cell r="K207" t="str">
            <v/>
          </cell>
          <cell r="L207" t="str">
            <v/>
          </cell>
          <cell r="M207" t="str">
            <v>c</v>
          </cell>
          <cell r="N207" t="str">
            <v>1</v>
          </cell>
          <cell r="O207">
            <v>0</v>
          </cell>
        </row>
        <row r="208">
          <cell r="A208">
            <v>194</v>
          </cell>
          <cell r="J208">
            <v>0</v>
          </cell>
          <cell r="K208" t="str">
            <v/>
          </cell>
          <cell r="L208" t="str">
            <v/>
          </cell>
          <cell r="M208" t="str">
            <v>c</v>
          </cell>
          <cell r="N208" t="str">
            <v>1</v>
          </cell>
          <cell r="O208">
            <v>0</v>
          </cell>
        </row>
        <row r="209">
          <cell r="A209">
            <v>195</v>
          </cell>
          <cell r="J209">
            <v>0</v>
          </cell>
          <cell r="K209" t="str">
            <v/>
          </cell>
          <cell r="L209" t="str">
            <v/>
          </cell>
          <cell r="M209" t="str">
            <v>c</v>
          </cell>
          <cell r="N209" t="str">
            <v>1</v>
          </cell>
          <cell r="O209">
            <v>0</v>
          </cell>
        </row>
        <row r="210">
          <cell r="A210">
            <v>196</v>
          </cell>
          <cell r="J210">
            <v>0</v>
          </cell>
          <cell r="K210" t="str">
            <v/>
          </cell>
          <cell r="L210" t="str">
            <v/>
          </cell>
          <cell r="M210" t="str">
            <v>c</v>
          </cell>
          <cell r="N210" t="str">
            <v>1</v>
          </cell>
          <cell r="O210">
            <v>0</v>
          </cell>
        </row>
        <row r="211">
          <cell r="A211">
            <v>197</v>
          </cell>
          <cell r="J211">
            <v>0</v>
          </cell>
          <cell r="K211" t="str">
            <v/>
          </cell>
          <cell r="L211" t="str">
            <v/>
          </cell>
          <cell r="M211" t="str">
            <v>c</v>
          </cell>
          <cell r="N211" t="str">
            <v>1</v>
          </cell>
          <cell r="O211">
            <v>0</v>
          </cell>
        </row>
        <row r="212">
          <cell r="A212">
            <v>198</v>
          </cell>
          <cell r="J212">
            <v>0</v>
          </cell>
          <cell r="K212" t="str">
            <v/>
          </cell>
          <cell r="L212" t="str">
            <v/>
          </cell>
          <cell r="M212" t="str">
            <v>c</v>
          </cell>
          <cell r="N212" t="str">
            <v>1</v>
          </cell>
          <cell r="O212">
            <v>0</v>
          </cell>
        </row>
        <row r="213">
          <cell r="A213">
            <v>199</v>
          </cell>
          <cell r="J213">
            <v>0</v>
          </cell>
          <cell r="K213" t="str">
            <v/>
          </cell>
          <cell r="L213" t="str">
            <v/>
          </cell>
          <cell r="M213" t="str">
            <v>c</v>
          </cell>
          <cell r="N213" t="str">
            <v>1</v>
          </cell>
          <cell r="O213">
            <v>0</v>
          </cell>
        </row>
        <row r="214">
          <cell r="A214">
            <v>200</v>
          </cell>
          <cell r="J214">
            <v>0</v>
          </cell>
          <cell r="K214" t="str">
            <v/>
          </cell>
          <cell r="L214" t="str">
            <v/>
          </cell>
          <cell r="M214" t="str">
            <v>c</v>
          </cell>
          <cell r="N214" t="str">
            <v>1</v>
          </cell>
          <cell r="O214">
            <v>0</v>
          </cell>
        </row>
        <row r="215">
          <cell r="A215">
            <v>201</v>
          </cell>
          <cell r="J215">
            <v>0</v>
          </cell>
          <cell r="K215" t="str">
            <v/>
          </cell>
          <cell r="L215" t="str">
            <v/>
          </cell>
          <cell r="M215" t="str">
            <v>c</v>
          </cell>
          <cell r="N215" t="str">
            <v>1</v>
          </cell>
          <cell r="O215">
            <v>0</v>
          </cell>
        </row>
        <row r="216">
          <cell r="A216">
            <v>202</v>
          </cell>
          <cell r="J216">
            <v>0</v>
          </cell>
          <cell r="K216" t="str">
            <v/>
          </cell>
          <cell r="L216" t="str">
            <v/>
          </cell>
          <cell r="M216" t="str">
            <v>c</v>
          </cell>
          <cell r="N216" t="str">
            <v>1</v>
          </cell>
          <cell r="O216">
            <v>0</v>
          </cell>
        </row>
        <row r="217">
          <cell r="A217">
            <v>203</v>
          </cell>
          <cell r="J217">
            <v>0</v>
          </cell>
          <cell r="K217" t="str">
            <v/>
          </cell>
          <cell r="L217" t="str">
            <v/>
          </cell>
          <cell r="M217" t="str">
            <v>c</v>
          </cell>
          <cell r="N217" t="str">
            <v>1</v>
          </cell>
          <cell r="O217">
            <v>0</v>
          </cell>
        </row>
        <row r="218">
          <cell r="A218">
            <v>204</v>
          </cell>
          <cell r="J218">
            <v>0</v>
          </cell>
          <cell r="K218" t="str">
            <v/>
          </cell>
          <cell r="L218" t="str">
            <v/>
          </cell>
          <cell r="M218" t="str">
            <v>c</v>
          </cell>
          <cell r="N218" t="str">
            <v>1</v>
          </cell>
          <cell r="O218">
            <v>0</v>
          </cell>
        </row>
        <row r="219">
          <cell r="A219">
            <v>205</v>
          </cell>
          <cell r="J219">
            <v>0</v>
          </cell>
          <cell r="K219" t="str">
            <v/>
          </cell>
          <cell r="L219" t="str">
            <v/>
          </cell>
          <cell r="M219" t="str">
            <v>c</v>
          </cell>
          <cell r="N219" t="str">
            <v>1</v>
          </cell>
          <cell r="O219">
            <v>0</v>
          </cell>
        </row>
        <row r="220">
          <cell r="A220">
            <v>206</v>
          </cell>
          <cell r="J220">
            <v>0</v>
          </cell>
          <cell r="K220" t="str">
            <v/>
          </cell>
          <cell r="L220" t="str">
            <v/>
          </cell>
          <cell r="M220" t="str">
            <v>c</v>
          </cell>
          <cell r="N220" t="str">
            <v>1</v>
          </cell>
          <cell r="O220">
            <v>0</v>
          </cell>
        </row>
        <row r="221">
          <cell r="A221">
            <v>207</v>
          </cell>
          <cell r="J221">
            <v>0</v>
          </cell>
          <cell r="K221" t="str">
            <v/>
          </cell>
          <cell r="L221" t="str">
            <v/>
          </cell>
          <cell r="M221" t="str">
            <v>c</v>
          </cell>
          <cell r="N221" t="str">
            <v>1</v>
          </cell>
          <cell r="O221">
            <v>0</v>
          </cell>
        </row>
        <row r="222">
          <cell r="A222">
            <v>208</v>
          </cell>
          <cell r="J222">
            <v>0</v>
          </cell>
          <cell r="K222" t="str">
            <v/>
          </cell>
          <cell r="L222" t="str">
            <v/>
          </cell>
          <cell r="M222" t="str">
            <v>c</v>
          </cell>
          <cell r="N222" t="str">
            <v>1</v>
          </cell>
          <cell r="O222">
            <v>0</v>
          </cell>
        </row>
        <row r="223">
          <cell r="A223">
            <v>209</v>
          </cell>
          <cell r="J223">
            <v>0</v>
          </cell>
          <cell r="K223" t="str">
            <v/>
          </cell>
          <cell r="L223" t="str">
            <v/>
          </cell>
          <cell r="M223" t="str">
            <v>c</v>
          </cell>
          <cell r="N223" t="str">
            <v>1</v>
          </cell>
          <cell r="O223">
            <v>0</v>
          </cell>
        </row>
        <row r="224">
          <cell r="A224">
            <v>210</v>
          </cell>
          <cell r="J224">
            <v>0</v>
          </cell>
          <cell r="K224" t="str">
            <v/>
          </cell>
          <cell r="L224" t="str">
            <v/>
          </cell>
          <cell r="M224" t="str">
            <v>c</v>
          </cell>
          <cell r="N224" t="str">
            <v>1</v>
          </cell>
          <cell r="O224">
            <v>0</v>
          </cell>
        </row>
        <row r="225">
          <cell r="A225">
            <v>211</v>
          </cell>
          <cell r="J225">
            <v>0</v>
          </cell>
          <cell r="K225" t="str">
            <v/>
          </cell>
          <cell r="L225" t="str">
            <v/>
          </cell>
          <cell r="M225" t="str">
            <v>c</v>
          </cell>
          <cell r="N225" t="str">
            <v>1</v>
          </cell>
          <cell r="O225">
            <v>0</v>
          </cell>
        </row>
        <row r="226">
          <cell r="A226">
            <v>212</v>
          </cell>
          <cell r="J226">
            <v>0</v>
          </cell>
          <cell r="K226" t="str">
            <v/>
          </cell>
          <cell r="L226" t="str">
            <v/>
          </cell>
          <cell r="M226" t="str">
            <v>c</v>
          </cell>
          <cell r="N226" t="str">
            <v>1</v>
          </cell>
          <cell r="O226">
            <v>0</v>
          </cell>
        </row>
        <row r="227">
          <cell r="A227">
            <v>213</v>
          </cell>
          <cell r="J227">
            <v>0</v>
          </cell>
          <cell r="K227" t="str">
            <v/>
          </cell>
          <cell r="L227" t="str">
            <v/>
          </cell>
          <cell r="M227" t="str">
            <v>c</v>
          </cell>
          <cell r="N227" t="str">
            <v>1</v>
          </cell>
          <cell r="O227">
            <v>0</v>
          </cell>
        </row>
        <row r="228">
          <cell r="A228">
            <v>214</v>
          </cell>
          <cell r="J228">
            <v>0</v>
          </cell>
          <cell r="K228" t="str">
            <v/>
          </cell>
          <cell r="L228" t="str">
            <v/>
          </cell>
          <cell r="M228" t="str">
            <v>c</v>
          </cell>
          <cell r="N228" t="str">
            <v>1</v>
          </cell>
          <cell r="O228">
            <v>0</v>
          </cell>
        </row>
        <row r="229">
          <cell r="A229">
            <v>215</v>
          </cell>
          <cell r="J229">
            <v>0</v>
          </cell>
          <cell r="K229" t="str">
            <v/>
          </cell>
          <cell r="L229" t="str">
            <v/>
          </cell>
          <cell r="M229" t="str">
            <v>c</v>
          </cell>
          <cell r="N229" t="str">
            <v>1</v>
          </cell>
          <cell r="O229">
            <v>0</v>
          </cell>
        </row>
        <row r="230">
          <cell r="A230">
            <v>216</v>
          </cell>
          <cell r="J230">
            <v>0</v>
          </cell>
          <cell r="K230" t="str">
            <v/>
          </cell>
          <cell r="L230" t="str">
            <v/>
          </cell>
          <cell r="M230" t="str">
            <v>c</v>
          </cell>
          <cell r="N230" t="str">
            <v>1</v>
          </cell>
          <cell r="O230">
            <v>0</v>
          </cell>
        </row>
        <row r="231">
          <cell r="A231">
            <v>217</v>
          </cell>
          <cell r="J231">
            <v>0</v>
          </cell>
          <cell r="K231" t="str">
            <v/>
          </cell>
          <cell r="L231" t="str">
            <v/>
          </cell>
          <cell r="M231" t="str">
            <v>c</v>
          </cell>
          <cell r="N231" t="str">
            <v>1</v>
          </cell>
          <cell r="O231">
            <v>0</v>
          </cell>
        </row>
        <row r="232">
          <cell r="A232">
            <v>218</v>
          </cell>
          <cell r="J232">
            <v>0</v>
          </cell>
          <cell r="K232" t="str">
            <v/>
          </cell>
          <cell r="L232" t="str">
            <v/>
          </cell>
          <cell r="M232" t="str">
            <v>c</v>
          </cell>
          <cell r="N232" t="str">
            <v>1</v>
          </cell>
          <cell r="O232">
            <v>0</v>
          </cell>
        </row>
        <row r="233">
          <cell r="A233">
            <v>219</v>
          </cell>
          <cell r="J233">
            <v>0</v>
          </cell>
          <cell r="K233" t="str">
            <v/>
          </cell>
          <cell r="L233" t="str">
            <v/>
          </cell>
          <cell r="M233" t="str">
            <v>c</v>
          </cell>
          <cell r="N233" t="str">
            <v>1</v>
          </cell>
          <cell r="O233">
            <v>0</v>
          </cell>
        </row>
        <row r="234">
          <cell r="A234">
            <v>220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>c</v>
          </cell>
          <cell r="N234" t="str">
            <v>1</v>
          </cell>
          <cell r="O234" t="str">
            <v/>
          </cell>
          <cell r="U234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E102" totalsRowShown="0" headerRowDxfId="7" headerRowBorderDxfId="6" tableBorderDxfId="5" totalsRowBorderDxfId="4">
  <autoFilter ref="B2:E102" xr:uid="{00000000-0009-0000-0100-000001000000}"/>
  <tableColumns count="4">
    <tableColumn id="1" xr3:uid="{00000000-0010-0000-0000-000001000000}" name="EPF" dataDxfId="3"/>
    <tableColumn id="2" xr3:uid="{00000000-0010-0000-0000-000002000000}" name="Name" dataDxfId="2"/>
    <tableColumn id="3" xr3:uid="{00000000-0010-0000-0000-000003000000}" name="Capacity (Pieces)" dataDxfId="1"/>
    <tableColumn id="4" xr3:uid="{00000000-0010-0000-0000-000004000000}" name="Eff%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cordnet@concord.lk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O150"/>
  <sheetViews>
    <sheetView tabSelected="1" topLeftCell="A115" zoomScale="85" zoomScaleNormal="85" workbookViewId="0">
      <selection activeCell="E141" sqref="E141"/>
    </sheetView>
  </sheetViews>
  <sheetFormatPr defaultColWidth="9.109375" defaultRowHeight="18"/>
  <cols>
    <col min="1" max="1" width="12.6640625" style="89" customWidth="1"/>
    <col min="2" max="2" width="9.44140625" style="139" customWidth="1"/>
    <col min="3" max="3" width="65.6640625" style="90" customWidth="1"/>
    <col min="4" max="4" width="16.44140625" style="90" hidden="1" customWidth="1"/>
    <col min="5" max="5" width="14.6640625" style="219" customWidth="1"/>
    <col min="6" max="6" width="2.109375" style="94" hidden="1" customWidth="1"/>
    <col min="7" max="7" width="10.5546875" style="174" customWidth="1"/>
    <col min="8" max="8" width="8.33203125" style="90" hidden="1" customWidth="1"/>
    <col min="9" max="9" width="7.6640625" style="90" customWidth="1"/>
    <col min="10" max="10" width="8.109375" style="90" customWidth="1"/>
    <col min="11" max="11" width="8.6640625" style="90" customWidth="1"/>
    <col min="12" max="12" width="10.109375" style="90" customWidth="1"/>
    <col min="13" max="13" width="13.21875" style="90" customWidth="1"/>
    <col min="14" max="14" width="0.109375" style="90" customWidth="1"/>
    <col min="15" max="16" width="9.109375" style="90"/>
    <col min="17" max="17" width="2.5546875" style="90" customWidth="1"/>
    <col min="18" max="1029" width="9.109375" style="90"/>
    <col min="1030" max="16384" width="9.109375" style="89"/>
  </cols>
  <sheetData>
    <row r="1" spans="1:18" s="89" customFormat="1" ht="26.25" customHeight="1">
      <c r="A1" s="178"/>
      <c r="B1" s="179"/>
      <c r="C1" s="258" t="s">
        <v>127</v>
      </c>
      <c r="D1" s="258"/>
      <c r="E1" s="258"/>
      <c r="F1" s="258"/>
      <c r="G1" s="258"/>
      <c r="H1" s="258"/>
      <c r="I1" s="258"/>
      <c r="J1" s="258"/>
      <c r="K1" s="258"/>
      <c r="L1" s="258"/>
      <c r="M1" s="218"/>
      <c r="N1" s="180"/>
      <c r="O1" s="90"/>
      <c r="P1" s="253"/>
      <c r="Q1" s="253"/>
      <c r="R1" s="91"/>
    </row>
    <row r="2" spans="1:18" s="89" customFormat="1" ht="12" customHeight="1">
      <c r="A2" s="181"/>
      <c r="B2" s="182"/>
      <c r="C2" s="259" t="s">
        <v>124</v>
      </c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184"/>
      <c r="O2" s="90"/>
      <c r="P2" s="92"/>
      <c r="Q2" s="92"/>
      <c r="R2" s="91"/>
    </row>
    <row r="3" spans="1:18" s="89" customFormat="1" ht="19.8" customHeight="1">
      <c r="A3" s="181"/>
      <c r="B3" s="182"/>
      <c r="C3" s="261" t="s">
        <v>125</v>
      </c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185"/>
      <c r="O3" s="93"/>
      <c r="P3" s="93"/>
      <c r="Q3" s="93"/>
      <c r="R3" s="91"/>
    </row>
    <row r="4" spans="1:18" s="89" customFormat="1" ht="13.5" customHeight="1">
      <c r="A4" s="181"/>
      <c r="B4" s="182"/>
      <c r="C4" s="260" t="s">
        <v>86</v>
      </c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184"/>
      <c r="O4" s="90"/>
      <c r="P4" s="92"/>
      <c r="Q4" s="92"/>
      <c r="R4" s="91"/>
    </row>
    <row r="5" spans="1:18" s="89" customFormat="1" ht="19.5" customHeight="1">
      <c r="A5" s="181"/>
      <c r="B5" s="182"/>
      <c r="C5" s="186"/>
      <c r="D5" s="186"/>
      <c r="E5" s="187"/>
      <c r="F5" s="186"/>
      <c r="G5" s="187"/>
      <c r="H5" s="186"/>
      <c r="I5" s="186"/>
      <c r="J5" s="186"/>
      <c r="K5" s="188"/>
      <c r="L5" s="188"/>
      <c r="M5" s="188"/>
      <c r="N5" s="184"/>
      <c r="O5" s="90"/>
      <c r="P5" s="92"/>
      <c r="Q5" s="92"/>
      <c r="R5" s="91"/>
    </row>
    <row r="6" spans="1:18" s="89" customFormat="1" ht="17.25" customHeight="1">
      <c r="A6" s="189" t="s">
        <v>87</v>
      </c>
      <c r="B6" s="183" t="s">
        <v>91</v>
      </c>
      <c r="C6" s="190" t="s">
        <v>195</v>
      </c>
      <c r="D6" s="191" t="s">
        <v>14</v>
      </c>
      <c r="E6" s="183"/>
      <c r="F6" s="192"/>
      <c r="G6" s="183"/>
      <c r="H6" s="192"/>
      <c r="I6" s="192"/>
      <c r="J6" s="192"/>
      <c r="K6" s="188"/>
      <c r="L6" s="188"/>
      <c r="M6" s="188"/>
      <c r="N6" s="184"/>
      <c r="O6" s="90"/>
      <c r="P6" s="253"/>
      <c r="Q6" s="253"/>
      <c r="R6" s="91"/>
    </row>
    <row r="7" spans="1:18" s="89" customFormat="1" ht="17.25" customHeight="1">
      <c r="A7" s="189" t="s">
        <v>88</v>
      </c>
      <c r="B7" s="183" t="s">
        <v>91</v>
      </c>
      <c r="C7" s="188" t="s">
        <v>126</v>
      </c>
      <c r="D7" s="191"/>
      <c r="E7" s="183"/>
      <c r="F7" s="192"/>
      <c r="G7" s="193"/>
      <c r="H7" s="188"/>
      <c r="I7" s="188"/>
      <c r="J7" s="188"/>
      <c r="K7" s="188"/>
      <c r="L7" s="188"/>
      <c r="M7" s="188"/>
      <c r="N7" s="184"/>
      <c r="O7" s="90"/>
      <c r="P7" s="253"/>
      <c r="Q7" s="253"/>
      <c r="R7" s="91"/>
    </row>
    <row r="8" spans="1:18" s="89" customFormat="1" ht="17.25" customHeight="1">
      <c r="A8" s="189" t="s">
        <v>89</v>
      </c>
      <c r="B8" s="183" t="s">
        <v>91</v>
      </c>
      <c r="C8" s="188" t="s">
        <v>196</v>
      </c>
      <c r="D8" s="191"/>
      <c r="E8" s="183"/>
      <c r="F8" s="192"/>
      <c r="G8" s="183"/>
      <c r="H8" s="192"/>
      <c r="I8" s="192"/>
      <c r="J8" s="192"/>
      <c r="K8" s="188"/>
      <c r="L8" s="194" t="s">
        <v>92</v>
      </c>
      <c r="M8" s="254">
        <v>45698</v>
      </c>
      <c r="N8" s="255"/>
      <c r="O8" s="90"/>
      <c r="P8" s="253"/>
      <c r="Q8" s="253"/>
      <c r="R8" s="91"/>
    </row>
    <row r="9" spans="1:18" s="94" customFormat="1" ht="17.25" customHeight="1">
      <c r="A9" s="189" t="s">
        <v>90</v>
      </c>
      <c r="B9" s="183" t="s">
        <v>91</v>
      </c>
      <c r="C9" s="201">
        <v>1</v>
      </c>
      <c r="D9" s="191"/>
      <c r="E9" s="183"/>
      <c r="F9" s="192"/>
      <c r="G9" s="183"/>
      <c r="H9" s="192"/>
      <c r="I9" s="192"/>
      <c r="J9" s="192"/>
      <c r="K9" s="192"/>
      <c r="L9" s="192"/>
      <c r="M9" s="192"/>
      <c r="N9" s="195"/>
    </row>
    <row r="10" spans="1:18" s="94" customFormat="1" ht="17.25" customHeight="1" thickBot="1">
      <c r="A10" s="196"/>
      <c r="B10" s="197"/>
      <c r="C10" s="198"/>
      <c r="D10" s="199"/>
      <c r="E10" s="197"/>
      <c r="F10" s="198"/>
      <c r="G10" s="197"/>
      <c r="H10" s="198"/>
      <c r="I10" s="198"/>
      <c r="J10" s="198"/>
      <c r="K10" s="198"/>
      <c r="L10" s="198"/>
      <c r="M10" s="198"/>
      <c r="N10" s="200"/>
    </row>
    <row r="11" spans="1:18" s="89" customFormat="1" ht="15.75" customHeight="1">
      <c r="A11" s="95" t="s">
        <v>15</v>
      </c>
      <c r="B11" s="249" t="s">
        <v>8</v>
      </c>
      <c r="C11" s="242" t="s">
        <v>16</v>
      </c>
      <c r="D11" s="251" t="s">
        <v>17</v>
      </c>
      <c r="E11" s="240" t="s">
        <v>18</v>
      </c>
      <c r="F11" s="243" t="s">
        <v>2</v>
      </c>
      <c r="G11" s="243" t="s">
        <v>19</v>
      </c>
      <c r="H11" s="96"/>
      <c r="I11" s="240" t="s">
        <v>20</v>
      </c>
      <c r="J11" s="240" t="s">
        <v>21</v>
      </c>
      <c r="K11" s="242" t="s">
        <v>22</v>
      </c>
      <c r="L11" s="242"/>
      <c r="M11" s="242"/>
      <c r="N11" s="256" t="s">
        <v>23</v>
      </c>
      <c r="O11" s="90"/>
      <c r="P11" s="90"/>
      <c r="Q11" s="90"/>
      <c r="R11" s="90"/>
    </row>
    <row r="12" spans="1:18" s="89" customFormat="1" ht="18.600000000000001" thickBot="1">
      <c r="A12" s="97" t="s">
        <v>24</v>
      </c>
      <c r="B12" s="250"/>
      <c r="C12" s="248"/>
      <c r="D12" s="252"/>
      <c r="E12" s="241"/>
      <c r="F12" s="244"/>
      <c r="G12" s="244"/>
      <c r="H12" s="98"/>
      <c r="I12" s="241"/>
      <c r="J12" s="241"/>
      <c r="K12" s="99">
        <v>1</v>
      </c>
      <c r="L12" s="99">
        <v>0.8</v>
      </c>
      <c r="M12" s="99">
        <v>0.5</v>
      </c>
      <c r="N12" s="257"/>
      <c r="O12" s="90"/>
      <c r="P12" s="90"/>
      <c r="Q12" s="90"/>
      <c r="R12" s="90"/>
    </row>
    <row r="13" spans="1:18" s="89" customFormat="1" ht="16.2" customHeight="1">
      <c r="A13" s="100"/>
      <c r="B13" s="153"/>
      <c r="C13" s="207" t="s">
        <v>197</v>
      </c>
      <c r="D13" s="170"/>
      <c r="E13" s="172"/>
      <c r="F13" s="171"/>
      <c r="G13" s="177"/>
      <c r="H13" s="202"/>
      <c r="I13" s="203"/>
      <c r="J13" s="171"/>
      <c r="K13" s="204"/>
      <c r="L13" s="204"/>
      <c r="M13" s="204"/>
      <c r="N13" s="111"/>
      <c r="O13" s="90"/>
      <c r="P13" s="90"/>
      <c r="Q13" s="90"/>
      <c r="R13" s="90"/>
    </row>
    <row r="14" spans="1:18" s="89" customFormat="1" ht="16.2" customHeight="1">
      <c r="A14" s="100"/>
      <c r="B14" s="153"/>
      <c r="C14" s="220"/>
      <c r="D14" s="170"/>
      <c r="E14" s="172"/>
      <c r="F14" s="171"/>
      <c r="G14" s="177"/>
      <c r="H14" s="202"/>
      <c r="I14" s="203"/>
      <c r="J14" s="171"/>
      <c r="K14" s="204"/>
      <c r="L14" s="204"/>
      <c r="M14" s="204"/>
      <c r="N14" s="111"/>
      <c r="O14" s="90"/>
      <c r="P14" s="90"/>
      <c r="Q14" s="90"/>
      <c r="R14" s="90"/>
    </row>
    <row r="15" spans="1:18" s="89" customFormat="1" ht="16.2" customHeight="1">
      <c r="A15" s="100"/>
      <c r="B15" s="153">
        <v>1</v>
      </c>
      <c r="C15" s="220" t="s">
        <v>198</v>
      </c>
      <c r="D15" s="170"/>
      <c r="E15" s="172" t="s">
        <v>4</v>
      </c>
      <c r="F15" s="171"/>
      <c r="G15" s="177">
        <v>0.2</v>
      </c>
      <c r="H15" s="202"/>
      <c r="I15" s="203"/>
      <c r="J15" s="171"/>
      <c r="K15" s="204">
        <f t="shared" ref="K15" si="0">IF((G15+I15)&gt;0,60/(G15+I15),0)</f>
        <v>300</v>
      </c>
      <c r="L15" s="204">
        <f t="shared" ref="L15" si="1">IF((G15+I15)&gt;0,60/(G15+I15),0)*$L$12</f>
        <v>240</v>
      </c>
      <c r="M15" s="204">
        <f t="shared" ref="M15" si="2">IF((G15+I15)&gt;0,60/(G15+I15),0)*$M$12</f>
        <v>150</v>
      </c>
      <c r="N15" s="111"/>
      <c r="O15" s="90"/>
      <c r="P15" s="90"/>
      <c r="Q15" s="90"/>
      <c r="R15" s="90"/>
    </row>
    <row r="16" spans="1:18" s="89" customFormat="1" ht="16.2" customHeight="1">
      <c r="A16" s="100"/>
      <c r="B16" s="153">
        <v>2</v>
      </c>
      <c r="C16" s="220" t="s">
        <v>199</v>
      </c>
      <c r="D16" s="170"/>
      <c r="E16" s="172" t="s">
        <v>4</v>
      </c>
      <c r="F16" s="171"/>
      <c r="G16" s="177">
        <v>0.28000000000000003</v>
      </c>
      <c r="H16" s="202"/>
      <c r="I16" s="203"/>
      <c r="J16" s="171"/>
      <c r="K16" s="204">
        <f t="shared" ref="K16" si="3">IF((G16+I16)&gt;0,60/(G16+I16),0)</f>
        <v>214.28571428571428</v>
      </c>
      <c r="L16" s="204">
        <f t="shared" ref="L16" si="4">IF((G16+I16)&gt;0,60/(G16+I16),0)*$L$12</f>
        <v>171.42857142857144</v>
      </c>
      <c r="M16" s="204">
        <f t="shared" ref="M16" si="5">IF((G16+I16)&gt;0,60/(G16+I16),0)*$M$12</f>
        <v>107.14285714285714</v>
      </c>
      <c r="N16" s="111"/>
      <c r="O16" s="90"/>
      <c r="P16" s="90"/>
      <c r="Q16" s="90"/>
      <c r="R16" s="90"/>
    </row>
    <row r="17" spans="1:18" s="89" customFormat="1" ht="16.2" customHeight="1">
      <c r="A17" s="100"/>
      <c r="B17" s="153"/>
      <c r="C17" s="220"/>
      <c r="D17" s="170"/>
      <c r="E17" s="172"/>
      <c r="F17" s="171"/>
      <c r="G17" s="177"/>
      <c r="H17" s="202"/>
      <c r="I17" s="203"/>
      <c r="J17" s="171"/>
      <c r="K17" s="204"/>
      <c r="L17" s="204"/>
      <c r="M17" s="204"/>
      <c r="N17" s="111"/>
      <c r="O17" s="90"/>
      <c r="P17" s="90"/>
      <c r="Q17" s="90"/>
      <c r="R17" s="90"/>
    </row>
    <row r="18" spans="1:18" s="89" customFormat="1" ht="16.2" customHeight="1">
      <c r="A18" s="100"/>
      <c r="B18" s="153"/>
      <c r="C18" s="207" t="s">
        <v>200</v>
      </c>
      <c r="D18" s="170"/>
      <c r="E18" s="172"/>
      <c r="F18" s="171"/>
      <c r="G18" s="177"/>
      <c r="H18" s="202"/>
      <c r="I18" s="203"/>
      <c r="J18" s="171"/>
      <c r="K18" s="204"/>
      <c r="L18" s="204"/>
      <c r="M18" s="204"/>
      <c r="N18" s="111"/>
      <c r="O18" s="90"/>
      <c r="P18" s="90"/>
      <c r="Q18" s="90"/>
      <c r="R18" s="90"/>
    </row>
    <row r="19" spans="1:18" s="89" customFormat="1" ht="16.2" customHeight="1">
      <c r="A19" s="100"/>
      <c r="B19" s="153"/>
      <c r="C19" s="220"/>
      <c r="D19" s="170"/>
      <c r="E19" s="172"/>
      <c r="F19" s="171"/>
      <c r="G19" s="177"/>
      <c r="H19" s="202"/>
      <c r="I19" s="203"/>
      <c r="J19" s="171"/>
      <c r="K19" s="204"/>
      <c r="L19" s="204"/>
      <c r="M19" s="204"/>
      <c r="N19" s="111"/>
      <c r="O19" s="90"/>
      <c r="P19" s="90"/>
      <c r="Q19" s="90"/>
      <c r="R19" s="90"/>
    </row>
    <row r="20" spans="1:18" s="89" customFormat="1" ht="16.2" customHeight="1">
      <c r="A20" s="100"/>
      <c r="B20" s="153">
        <v>3</v>
      </c>
      <c r="C20" s="220" t="s">
        <v>201</v>
      </c>
      <c r="D20" s="170"/>
      <c r="E20" s="172" t="s">
        <v>4</v>
      </c>
      <c r="F20" s="171"/>
      <c r="G20" s="177">
        <v>0.16</v>
      </c>
      <c r="H20" s="202"/>
      <c r="I20" s="203"/>
      <c r="J20" s="171"/>
      <c r="K20" s="204">
        <f t="shared" ref="K20" si="6">IF((G20+I20)&gt;0,60/(G20+I20),0)</f>
        <v>375</v>
      </c>
      <c r="L20" s="204">
        <f t="shared" ref="L20" si="7">IF((G20+I20)&gt;0,60/(G20+I20),0)*$L$12</f>
        <v>300</v>
      </c>
      <c r="M20" s="204">
        <f t="shared" ref="M20" si="8">IF((G20+I20)&gt;0,60/(G20+I20),0)*$M$12</f>
        <v>187.5</v>
      </c>
      <c r="N20" s="111"/>
      <c r="O20" s="90"/>
      <c r="P20" s="90"/>
      <c r="Q20" s="90"/>
      <c r="R20" s="90"/>
    </row>
    <row r="21" spans="1:18" s="89" customFormat="1" ht="16.2" customHeight="1">
      <c r="A21" s="100"/>
      <c r="B21" s="153">
        <v>4</v>
      </c>
      <c r="C21" s="220" t="s">
        <v>202</v>
      </c>
      <c r="D21" s="170"/>
      <c r="E21" s="172" t="s">
        <v>4</v>
      </c>
      <c r="F21" s="171"/>
      <c r="G21" s="177">
        <v>0.22</v>
      </c>
      <c r="H21" s="202"/>
      <c r="I21" s="203"/>
      <c r="J21" s="171"/>
      <c r="K21" s="204">
        <f t="shared" ref="K21:K24" si="9">IF((G21+I21)&gt;0,60/(G21+I21),0)</f>
        <v>272.72727272727275</v>
      </c>
      <c r="L21" s="204">
        <f t="shared" ref="L21:L24" si="10">IF((G21+I21)&gt;0,60/(G21+I21),0)*$L$12</f>
        <v>218.18181818181822</v>
      </c>
      <c r="M21" s="204">
        <f t="shared" ref="M21:M24" si="11">IF((G21+I21)&gt;0,60/(G21+I21),0)*$M$12</f>
        <v>136.36363636363637</v>
      </c>
      <c r="N21" s="111"/>
      <c r="O21" s="90"/>
      <c r="P21" s="90"/>
      <c r="Q21" s="90"/>
      <c r="R21" s="90"/>
    </row>
    <row r="22" spans="1:18" s="89" customFormat="1" ht="16.2" customHeight="1">
      <c r="A22" s="100"/>
      <c r="B22" s="153">
        <v>5</v>
      </c>
      <c r="C22" s="220" t="s">
        <v>205</v>
      </c>
      <c r="D22" s="170"/>
      <c r="E22" s="172" t="s">
        <v>4</v>
      </c>
      <c r="F22" s="171"/>
      <c r="G22" s="177">
        <v>0.38</v>
      </c>
      <c r="H22" s="202"/>
      <c r="I22" s="203"/>
      <c r="J22" s="171"/>
      <c r="K22" s="204">
        <f t="shared" si="9"/>
        <v>157.89473684210526</v>
      </c>
      <c r="L22" s="204">
        <f t="shared" si="10"/>
        <v>126.31578947368422</v>
      </c>
      <c r="M22" s="204">
        <f t="shared" si="11"/>
        <v>78.94736842105263</v>
      </c>
      <c r="N22" s="111"/>
      <c r="O22" s="90"/>
      <c r="P22" s="90"/>
      <c r="Q22" s="90"/>
      <c r="R22" s="90"/>
    </row>
    <row r="23" spans="1:18" s="89" customFormat="1" ht="16.2" customHeight="1">
      <c r="A23" s="100"/>
      <c r="B23" s="153">
        <v>6</v>
      </c>
      <c r="C23" s="220" t="s">
        <v>203</v>
      </c>
      <c r="D23" s="170"/>
      <c r="E23" s="172" t="s">
        <v>4</v>
      </c>
      <c r="F23" s="171"/>
      <c r="G23" s="177">
        <v>0.44</v>
      </c>
      <c r="H23" s="202"/>
      <c r="I23" s="203"/>
      <c r="J23" s="171"/>
      <c r="K23" s="204">
        <f t="shared" si="9"/>
        <v>136.36363636363637</v>
      </c>
      <c r="L23" s="204">
        <f t="shared" si="10"/>
        <v>109.09090909090911</v>
      </c>
      <c r="M23" s="204">
        <f t="shared" si="11"/>
        <v>68.181818181818187</v>
      </c>
      <c r="N23" s="111"/>
      <c r="O23" s="90"/>
      <c r="P23" s="90"/>
      <c r="Q23" s="90"/>
      <c r="R23" s="90"/>
    </row>
    <row r="24" spans="1:18" s="89" customFormat="1" ht="16.2" customHeight="1">
      <c r="A24" s="100"/>
      <c r="B24" s="153">
        <v>7</v>
      </c>
      <c r="C24" s="220" t="s">
        <v>204</v>
      </c>
      <c r="D24" s="170"/>
      <c r="E24" s="172" t="s">
        <v>4</v>
      </c>
      <c r="F24" s="171"/>
      <c r="G24" s="177">
        <v>0.24</v>
      </c>
      <c r="H24" s="202"/>
      <c r="I24" s="203"/>
      <c r="J24" s="171"/>
      <c r="K24" s="204">
        <f t="shared" si="9"/>
        <v>250</v>
      </c>
      <c r="L24" s="204">
        <f t="shared" si="10"/>
        <v>200</v>
      </c>
      <c r="M24" s="204">
        <f t="shared" si="11"/>
        <v>125</v>
      </c>
      <c r="N24" s="111"/>
      <c r="O24" s="90"/>
      <c r="P24" s="90"/>
      <c r="Q24" s="90"/>
      <c r="R24" s="90"/>
    </row>
    <row r="25" spans="1:18" s="89" customFormat="1" ht="16.2" customHeight="1">
      <c r="A25" s="100"/>
      <c r="B25" s="153"/>
      <c r="C25" s="220"/>
      <c r="D25" s="170"/>
      <c r="E25" s="172"/>
      <c r="F25" s="171"/>
      <c r="G25" s="177"/>
      <c r="H25" s="202"/>
      <c r="I25" s="203"/>
      <c r="J25" s="171"/>
      <c r="K25" s="204"/>
      <c r="L25" s="204"/>
      <c r="M25" s="204"/>
      <c r="N25" s="111"/>
      <c r="O25" s="90"/>
      <c r="P25" s="90"/>
      <c r="Q25" s="90"/>
      <c r="R25" s="90"/>
    </row>
    <row r="26" spans="1:18" s="89" customFormat="1" ht="16.2" customHeight="1">
      <c r="A26" s="100"/>
      <c r="B26" s="101"/>
      <c r="C26" s="207" t="s">
        <v>129</v>
      </c>
      <c r="D26" s="102"/>
      <c r="E26" s="102"/>
      <c r="F26" s="103"/>
      <c r="G26" s="102"/>
      <c r="H26" s="102"/>
      <c r="I26" s="103"/>
      <c r="J26" s="103"/>
      <c r="K26" s="104"/>
      <c r="L26" s="104"/>
      <c r="M26" s="104"/>
      <c r="N26" s="105"/>
      <c r="O26" s="90"/>
      <c r="P26" s="90"/>
      <c r="Q26" s="90"/>
      <c r="R26" s="90"/>
    </row>
    <row r="27" spans="1:18" s="89" customFormat="1" ht="16.2" customHeight="1">
      <c r="A27" s="100"/>
      <c r="B27" s="153"/>
      <c r="C27" s="154"/>
      <c r="D27" s="107"/>
      <c r="E27" s="155"/>
      <c r="F27" s="103"/>
      <c r="G27" s="155"/>
      <c r="H27" s="108"/>
      <c r="I27" s="109"/>
      <c r="J27" s="103"/>
      <c r="K27" s="110"/>
      <c r="L27" s="110"/>
      <c r="M27" s="110"/>
      <c r="N27" s="111"/>
      <c r="O27" s="90"/>
      <c r="P27" s="90"/>
      <c r="Q27" s="90"/>
      <c r="R27" s="90"/>
    </row>
    <row r="28" spans="1:18" s="89" customFormat="1" ht="16.2" customHeight="1">
      <c r="A28" s="100"/>
      <c r="B28" s="153">
        <v>8</v>
      </c>
      <c r="C28" s="169" t="s">
        <v>232</v>
      </c>
      <c r="D28" s="169"/>
      <c r="E28" s="172" t="s">
        <v>157</v>
      </c>
      <c r="F28" s="169"/>
      <c r="G28" s="172">
        <v>0.57999999999999996</v>
      </c>
      <c r="H28" s="225"/>
      <c r="I28" s="109"/>
      <c r="J28" s="103"/>
      <c r="K28" s="204">
        <f t="shared" ref="K28" si="12">IF((G28+I28)&gt;0,60/(G28+I28),0)</f>
        <v>103.44827586206897</v>
      </c>
      <c r="L28" s="204">
        <f t="shared" ref="L28" si="13">IF((G28+I28)&gt;0,60/(G28+I28),0)*$L$12</f>
        <v>82.758620689655174</v>
      </c>
      <c r="M28" s="204">
        <f t="shared" ref="M28" si="14">IF((G28+I28)&gt;0,60/(G28+I28),0)*$M$12</f>
        <v>51.724137931034484</v>
      </c>
      <c r="N28" s="111"/>
      <c r="O28" s="90"/>
      <c r="P28" s="90"/>
      <c r="Q28" s="90"/>
      <c r="R28" s="90"/>
    </row>
    <row r="29" spans="1:18" s="89" customFormat="1" ht="16.2" customHeight="1">
      <c r="A29" s="100"/>
      <c r="B29" s="153">
        <v>9</v>
      </c>
      <c r="C29" s="169" t="s">
        <v>130</v>
      </c>
      <c r="D29" s="170"/>
      <c r="E29" s="172" t="s">
        <v>4</v>
      </c>
      <c r="F29" s="171"/>
      <c r="G29" s="177">
        <v>0.4</v>
      </c>
      <c r="H29" s="202">
        <v>0.2</v>
      </c>
      <c r="I29" s="203"/>
      <c r="J29" s="171"/>
      <c r="K29" s="204">
        <f t="shared" ref="K29:K38" si="15">IF((G29+I29)&gt;0,60/(G29+I29),0)</f>
        <v>150</v>
      </c>
      <c r="L29" s="204">
        <f t="shared" ref="L29:L38" si="16">IF((G29+I29)&gt;0,60/(G29+I29),0)*$L$12</f>
        <v>120</v>
      </c>
      <c r="M29" s="204">
        <f t="shared" ref="M29:M38" si="17">IF((G29+I29)&gt;0,60/(G29+I29),0)*$M$12</f>
        <v>75</v>
      </c>
      <c r="N29" s="111">
        <f t="shared" ref="N29:N40" si="18">($G29+$I29)/$L$135</f>
        <v>0.63717096093345527</v>
      </c>
      <c r="O29" s="90"/>
      <c r="P29" s="90"/>
      <c r="Q29" s="90"/>
      <c r="R29" s="90"/>
    </row>
    <row r="30" spans="1:18" s="89" customFormat="1" ht="16.2" customHeight="1">
      <c r="A30" s="100"/>
      <c r="B30" s="153">
        <v>10</v>
      </c>
      <c r="C30" s="169" t="s">
        <v>131</v>
      </c>
      <c r="D30" s="170"/>
      <c r="E30" s="172" t="s">
        <v>4</v>
      </c>
      <c r="F30" s="171"/>
      <c r="G30" s="177">
        <v>0.44</v>
      </c>
      <c r="H30" s="202"/>
      <c r="I30" s="203"/>
      <c r="J30" s="171"/>
      <c r="K30" s="204">
        <f t="shared" si="15"/>
        <v>136.36363636363637</v>
      </c>
      <c r="L30" s="204">
        <f t="shared" si="16"/>
        <v>109.09090909090911</v>
      </c>
      <c r="M30" s="204">
        <f t="shared" si="17"/>
        <v>68.181818181818187</v>
      </c>
      <c r="N30" s="111">
        <f t="shared" si="18"/>
        <v>0.70088805702680079</v>
      </c>
      <c r="O30" s="90"/>
      <c r="P30" s="90"/>
      <c r="Q30" s="90"/>
      <c r="R30" s="90"/>
    </row>
    <row r="31" spans="1:18" s="89" customFormat="1" ht="16.2" customHeight="1">
      <c r="A31" s="100"/>
      <c r="B31" s="153">
        <v>11</v>
      </c>
      <c r="C31" s="169" t="s">
        <v>132</v>
      </c>
      <c r="D31" s="170"/>
      <c r="E31" s="172" t="s">
        <v>4</v>
      </c>
      <c r="F31" s="171"/>
      <c r="G31" s="177">
        <v>0.52</v>
      </c>
      <c r="H31" s="202"/>
      <c r="I31" s="203"/>
      <c r="J31" s="171"/>
      <c r="K31" s="204">
        <f t="shared" si="15"/>
        <v>115.38461538461539</v>
      </c>
      <c r="L31" s="204">
        <f t="shared" si="16"/>
        <v>92.307692307692321</v>
      </c>
      <c r="M31" s="204">
        <f t="shared" si="17"/>
        <v>57.692307692307693</v>
      </c>
      <c r="N31" s="111">
        <f t="shared" si="18"/>
        <v>0.82832224921349185</v>
      </c>
      <c r="O31" s="90"/>
      <c r="P31" s="90"/>
      <c r="Q31" s="90"/>
      <c r="R31" s="90"/>
    </row>
    <row r="32" spans="1:18" s="89" customFormat="1" ht="16.2" customHeight="1">
      <c r="A32" s="100"/>
      <c r="B32" s="153">
        <v>12</v>
      </c>
      <c r="C32" s="169" t="s">
        <v>133</v>
      </c>
      <c r="D32" s="170"/>
      <c r="E32" s="172" t="s">
        <v>4</v>
      </c>
      <c r="F32" s="171"/>
      <c r="G32" s="177">
        <v>0.46</v>
      </c>
      <c r="H32" s="202"/>
      <c r="I32" s="203"/>
      <c r="J32" s="171"/>
      <c r="K32" s="204">
        <f t="shared" si="15"/>
        <v>130.43478260869566</v>
      </c>
      <c r="L32" s="204">
        <f t="shared" si="16"/>
        <v>104.34782608695653</v>
      </c>
      <c r="M32" s="204">
        <f t="shared" si="17"/>
        <v>65.217391304347828</v>
      </c>
      <c r="N32" s="111">
        <f t="shared" si="18"/>
        <v>0.73274660507347356</v>
      </c>
      <c r="O32" s="90"/>
      <c r="P32" s="90"/>
      <c r="Q32" s="90"/>
      <c r="R32" s="90"/>
    </row>
    <row r="33" spans="1:18" s="89" customFormat="1" ht="16.2" customHeight="1">
      <c r="A33" s="100"/>
      <c r="B33" s="153">
        <v>13</v>
      </c>
      <c r="C33" s="169" t="s">
        <v>136</v>
      </c>
      <c r="D33" s="170"/>
      <c r="E33" s="172" t="s">
        <v>137</v>
      </c>
      <c r="F33" s="171"/>
      <c r="G33" s="177">
        <v>0.67</v>
      </c>
      <c r="H33" s="202"/>
      <c r="I33" s="203"/>
      <c r="J33" s="171"/>
      <c r="K33" s="204">
        <f t="shared" si="15"/>
        <v>89.552238805970148</v>
      </c>
      <c r="L33" s="204">
        <f t="shared" si="16"/>
        <v>71.641791044776127</v>
      </c>
      <c r="M33" s="204">
        <f t="shared" si="17"/>
        <v>44.776119402985074</v>
      </c>
      <c r="N33" s="111">
        <f t="shared" si="18"/>
        <v>1.0672613595635376</v>
      </c>
      <c r="O33" s="90"/>
      <c r="P33" s="90"/>
      <c r="Q33" s="90"/>
      <c r="R33" s="90"/>
    </row>
    <row r="34" spans="1:18" s="89" customFormat="1" ht="16.2" customHeight="1">
      <c r="A34" s="100"/>
      <c r="B34" s="153">
        <v>14</v>
      </c>
      <c r="C34" s="169" t="s">
        <v>134</v>
      </c>
      <c r="D34" s="170"/>
      <c r="E34" s="172" t="s">
        <v>4</v>
      </c>
      <c r="F34" s="171"/>
      <c r="G34" s="177">
        <v>0.82</v>
      </c>
      <c r="H34" s="202"/>
      <c r="I34" s="203"/>
      <c r="J34" s="171"/>
      <c r="K34" s="204">
        <f t="shared" si="15"/>
        <v>73.170731707317074</v>
      </c>
      <c r="L34" s="204">
        <f t="shared" si="16"/>
        <v>58.536585365853661</v>
      </c>
      <c r="M34" s="204">
        <f t="shared" si="17"/>
        <v>36.585365853658537</v>
      </c>
      <c r="N34" s="111">
        <f t="shared" si="18"/>
        <v>1.3062004699135832</v>
      </c>
      <c r="O34" s="90"/>
      <c r="P34" s="90"/>
      <c r="Q34" s="90"/>
      <c r="R34" s="90"/>
    </row>
    <row r="35" spans="1:18" s="89" customFormat="1" ht="16.2" customHeight="1">
      <c r="A35" s="100"/>
      <c r="B35" s="153">
        <v>15</v>
      </c>
      <c r="C35" s="169" t="s">
        <v>135</v>
      </c>
      <c r="D35" s="170"/>
      <c r="E35" s="172" t="s">
        <v>4</v>
      </c>
      <c r="F35" s="171"/>
      <c r="G35" s="177">
        <v>0.54</v>
      </c>
      <c r="H35" s="202"/>
      <c r="I35" s="203"/>
      <c r="J35" s="171"/>
      <c r="K35" s="204">
        <f t="shared" si="15"/>
        <v>111.1111111111111</v>
      </c>
      <c r="L35" s="204">
        <f t="shared" si="16"/>
        <v>88.888888888888886</v>
      </c>
      <c r="M35" s="204">
        <f t="shared" si="17"/>
        <v>55.55555555555555</v>
      </c>
      <c r="N35" s="111">
        <f t="shared" si="18"/>
        <v>0.86018079726016461</v>
      </c>
      <c r="O35" s="90"/>
      <c r="P35" s="90"/>
      <c r="Q35" s="90"/>
      <c r="R35" s="90"/>
    </row>
    <row r="36" spans="1:18" s="89" customFormat="1" ht="16.2" customHeight="1">
      <c r="A36" s="100"/>
      <c r="B36" s="153">
        <v>16</v>
      </c>
      <c r="C36" s="169" t="s">
        <v>233</v>
      </c>
      <c r="D36" s="170"/>
      <c r="E36" s="172" t="s">
        <v>4</v>
      </c>
      <c r="F36" s="171"/>
      <c r="G36" s="177">
        <v>0.26</v>
      </c>
      <c r="H36" s="202"/>
      <c r="I36" s="203"/>
      <c r="J36" s="171"/>
      <c r="K36" s="204">
        <f t="shared" si="15"/>
        <v>230.76923076923077</v>
      </c>
      <c r="L36" s="204">
        <f t="shared" si="16"/>
        <v>184.61538461538464</v>
      </c>
      <c r="M36" s="204">
        <f t="shared" si="17"/>
        <v>115.38461538461539</v>
      </c>
      <c r="N36" s="111">
        <f t="shared" si="18"/>
        <v>0.41416112460674592</v>
      </c>
      <c r="O36" s="90"/>
      <c r="P36" s="90"/>
      <c r="Q36" s="90"/>
      <c r="R36" s="90"/>
    </row>
    <row r="37" spans="1:18" s="89" customFormat="1" ht="16.2" customHeight="1">
      <c r="A37" s="100"/>
      <c r="B37" s="153">
        <v>17</v>
      </c>
      <c r="C37" s="169" t="s">
        <v>138</v>
      </c>
      <c r="D37" s="170"/>
      <c r="E37" s="172" t="s">
        <v>5</v>
      </c>
      <c r="F37" s="171"/>
      <c r="G37" s="177">
        <v>0.24</v>
      </c>
      <c r="H37" s="202"/>
      <c r="I37" s="203"/>
      <c r="J37" s="171"/>
      <c r="K37" s="204">
        <f t="shared" si="15"/>
        <v>250</v>
      </c>
      <c r="L37" s="204">
        <f t="shared" si="16"/>
        <v>200</v>
      </c>
      <c r="M37" s="204">
        <f t="shared" si="17"/>
        <v>125</v>
      </c>
      <c r="N37" s="111">
        <f t="shared" si="18"/>
        <v>0.38230257656007316</v>
      </c>
      <c r="O37" s="90"/>
      <c r="P37" s="90"/>
      <c r="Q37" s="90"/>
      <c r="R37" s="90"/>
    </row>
    <row r="38" spans="1:18" s="89" customFormat="1" ht="16.2" customHeight="1">
      <c r="A38" s="100"/>
      <c r="B38" s="153">
        <v>18</v>
      </c>
      <c r="C38" s="169" t="s">
        <v>222</v>
      </c>
      <c r="D38" s="170"/>
      <c r="E38" s="172" t="s">
        <v>137</v>
      </c>
      <c r="F38" s="171"/>
      <c r="G38" s="177">
        <v>0.2</v>
      </c>
      <c r="H38" s="202"/>
      <c r="I38" s="203"/>
      <c r="J38" s="171"/>
      <c r="K38" s="204">
        <f t="shared" si="15"/>
        <v>300</v>
      </c>
      <c r="L38" s="204">
        <f t="shared" si="16"/>
        <v>240</v>
      </c>
      <c r="M38" s="204">
        <f t="shared" si="17"/>
        <v>150</v>
      </c>
      <c r="N38" s="111">
        <f t="shared" si="18"/>
        <v>0.31858548046672763</v>
      </c>
      <c r="O38" s="90"/>
      <c r="P38" s="90"/>
      <c r="Q38" s="90"/>
      <c r="R38" s="90"/>
    </row>
    <row r="39" spans="1:18" s="89" customFormat="1" ht="16.2" customHeight="1">
      <c r="A39" s="100"/>
      <c r="B39" s="106"/>
      <c r="C39" s="205"/>
      <c r="D39" s="170"/>
      <c r="E39" s="170"/>
      <c r="F39" s="171"/>
      <c r="G39" s="206"/>
      <c r="H39" s="202">
        <v>1.1000000000000001</v>
      </c>
      <c r="I39" s="203"/>
      <c r="J39" s="171"/>
      <c r="K39" s="204"/>
      <c r="L39" s="204"/>
      <c r="M39" s="204"/>
      <c r="N39" s="111">
        <f t="shared" si="18"/>
        <v>0</v>
      </c>
      <c r="O39" s="90"/>
      <c r="P39" s="90"/>
      <c r="Q39" s="90"/>
      <c r="R39" s="90"/>
    </row>
    <row r="40" spans="1:18" s="89" customFormat="1" ht="16.2" customHeight="1">
      <c r="A40" s="100"/>
      <c r="B40" s="153"/>
      <c r="C40" s="207" t="s">
        <v>139</v>
      </c>
      <c r="D40" s="170"/>
      <c r="E40" s="170"/>
      <c r="F40" s="171"/>
      <c r="G40" s="206"/>
      <c r="H40" s="202">
        <v>0.67</v>
      </c>
      <c r="I40" s="203"/>
      <c r="J40" s="171"/>
      <c r="K40" s="204"/>
      <c r="L40" s="204"/>
      <c r="M40" s="204"/>
      <c r="N40" s="111">
        <f t="shared" si="18"/>
        <v>0</v>
      </c>
      <c r="O40" s="90"/>
      <c r="P40" s="90"/>
      <c r="Q40" s="90"/>
      <c r="R40" s="90"/>
    </row>
    <row r="41" spans="1:18" s="89" customFormat="1" ht="16.2" customHeight="1">
      <c r="A41" s="100"/>
      <c r="B41" s="153"/>
      <c r="C41" s="169"/>
      <c r="D41" s="170"/>
      <c r="E41" s="172"/>
      <c r="F41" s="171"/>
      <c r="G41" s="177"/>
      <c r="H41" s="202"/>
      <c r="I41" s="203"/>
      <c r="J41" s="171"/>
      <c r="K41" s="204"/>
      <c r="L41" s="204"/>
      <c r="M41" s="204"/>
      <c r="N41" s="111"/>
      <c r="O41" s="90"/>
      <c r="P41" s="90"/>
      <c r="Q41" s="90"/>
      <c r="R41" s="90"/>
    </row>
    <row r="42" spans="1:18" s="89" customFormat="1" ht="16.2" customHeight="1">
      <c r="A42" s="100"/>
      <c r="B42" s="153">
        <v>19</v>
      </c>
      <c r="C42" s="169" t="s">
        <v>140</v>
      </c>
      <c r="D42" s="169"/>
      <c r="E42" s="172" t="s">
        <v>137</v>
      </c>
      <c r="F42" s="169"/>
      <c r="G42" s="177">
        <v>0.15</v>
      </c>
      <c r="H42" s="202">
        <v>0.4</v>
      </c>
      <c r="I42" s="203"/>
      <c r="J42" s="171"/>
      <c r="K42" s="204">
        <f t="shared" ref="K42:K52" si="19">IF((G42+I42)&gt;0,60/(G42+I42),0)</f>
        <v>400</v>
      </c>
      <c r="L42" s="204">
        <f t="shared" ref="L42:L52" si="20">IF((G42+I42)&gt;0,60/(G42+I42),0)*$L$12</f>
        <v>320</v>
      </c>
      <c r="M42" s="204">
        <f t="shared" ref="M42:M52" si="21">IF((G42+I42)&gt;0,60/(G42+I42),0)*$M$12</f>
        <v>200</v>
      </c>
      <c r="N42" s="111">
        <f t="shared" ref="N42:N54" si="22">($G42+$I42)/$L$135</f>
        <v>0.23893911035004572</v>
      </c>
      <c r="O42" s="90"/>
      <c r="P42" s="90"/>
      <c r="Q42" s="90"/>
      <c r="R42" s="90"/>
    </row>
    <row r="43" spans="1:18" s="89" customFormat="1" ht="16.2" customHeight="1">
      <c r="A43" s="100"/>
      <c r="B43" s="153">
        <v>20</v>
      </c>
      <c r="C43" s="169" t="s">
        <v>141</v>
      </c>
      <c r="D43" s="169"/>
      <c r="E43" s="172" t="s">
        <v>137</v>
      </c>
      <c r="F43" s="169"/>
      <c r="G43" s="177">
        <v>0.12</v>
      </c>
      <c r="H43" s="202">
        <v>0.46</v>
      </c>
      <c r="I43" s="203"/>
      <c r="J43" s="171"/>
      <c r="K43" s="204">
        <f t="shared" si="19"/>
        <v>500</v>
      </c>
      <c r="L43" s="204">
        <f t="shared" si="20"/>
        <v>400</v>
      </c>
      <c r="M43" s="204">
        <f t="shared" si="21"/>
        <v>250</v>
      </c>
      <c r="N43" s="111">
        <f t="shared" si="22"/>
        <v>0.19115128828003658</v>
      </c>
      <c r="O43" s="90"/>
      <c r="P43" s="90"/>
      <c r="Q43" s="90"/>
      <c r="R43" s="90"/>
    </row>
    <row r="44" spans="1:18" s="89" customFormat="1" ht="16.2" customHeight="1">
      <c r="A44" s="100"/>
      <c r="B44" s="153">
        <v>21</v>
      </c>
      <c r="C44" s="169" t="s">
        <v>142</v>
      </c>
      <c r="D44" s="169"/>
      <c r="E44" s="172" t="s">
        <v>4</v>
      </c>
      <c r="F44" s="169"/>
      <c r="G44" s="177">
        <v>0.22</v>
      </c>
      <c r="H44" s="202"/>
      <c r="I44" s="203"/>
      <c r="J44" s="171"/>
      <c r="K44" s="204">
        <f t="shared" si="19"/>
        <v>272.72727272727275</v>
      </c>
      <c r="L44" s="204">
        <f t="shared" si="20"/>
        <v>218.18181818181822</v>
      </c>
      <c r="M44" s="204">
        <f t="shared" si="21"/>
        <v>136.36363636363637</v>
      </c>
      <c r="N44" s="111">
        <f t="shared" si="22"/>
        <v>0.3504440285134004</v>
      </c>
      <c r="O44" s="90"/>
      <c r="P44" s="90"/>
      <c r="Q44" s="90"/>
      <c r="R44" s="90"/>
    </row>
    <row r="45" spans="1:18" s="89" customFormat="1" ht="16.2" customHeight="1">
      <c r="A45" s="100"/>
      <c r="B45" s="153">
        <v>22</v>
      </c>
      <c r="C45" s="169" t="s">
        <v>206</v>
      </c>
      <c r="D45" s="169"/>
      <c r="E45" s="172" t="s">
        <v>4</v>
      </c>
      <c r="F45" s="169"/>
      <c r="G45" s="177">
        <v>0.3</v>
      </c>
      <c r="H45" s="202"/>
      <c r="I45" s="203"/>
      <c r="J45" s="171"/>
      <c r="K45" s="204">
        <f t="shared" ref="K45" si="23">IF((G45+I45)&gt;0,60/(G45+I45),0)</f>
        <v>200</v>
      </c>
      <c r="L45" s="204">
        <f t="shared" ref="L45" si="24">IF((G45+I45)&gt;0,60/(G45+I45),0)*$L$12</f>
        <v>160</v>
      </c>
      <c r="M45" s="204">
        <f t="shared" ref="M45" si="25">IF((G45+I45)&gt;0,60/(G45+I45),0)*$M$12</f>
        <v>100</v>
      </c>
      <c r="N45" s="111">
        <f t="shared" si="22"/>
        <v>0.47787822070009145</v>
      </c>
      <c r="O45" s="90"/>
      <c r="P45" s="90"/>
      <c r="Q45" s="90"/>
      <c r="R45" s="90"/>
    </row>
    <row r="46" spans="1:18" s="89" customFormat="1" ht="16.2" customHeight="1">
      <c r="A46" s="100"/>
      <c r="B46" s="153">
        <v>23</v>
      </c>
      <c r="C46" s="169" t="s">
        <v>143</v>
      </c>
      <c r="D46" s="169"/>
      <c r="E46" s="172" t="s">
        <v>137</v>
      </c>
      <c r="F46" s="169"/>
      <c r="G46" s="177">
        <v>0.28100000000000003</v>
      </c>
      <c r="H46" s="202">
        <v>0.56000000000000005</v>
      </c>
      <c r="I46" s="203"/>
      <c r="J46" s="171"/>
      <c r="K46" s="204">
        <f t="shared" si="19"/>
        <v>213.52313167259786</v>
      </c>
      <c r="L46" s="204">
        <f t="shared" si="20"/>
        <v>170.8185053380783</v>
      </c>
      <c r="M46" s="204">
        <f t="shared" si="21"/>
        <v>106.76156583629893</v>
      </c>
      <c r="N46" s="111">
        <f t="shared" si="22"/>
        <v>0.44761260005575237</v>
      </c>
      <c r="O46" s="90"/>
      <c r="P46" s="90"/>
      <c r="Q46" s="90"/>
      <c r="R46" s="90"/>
    </row>
    <row r="47" spans="1:18" s="89" customFormat="1" ht="16.2" customHeight="1">
      <c r="A47" s="100"/>
      <c r="B47" s="153">
        <v>24</v>
      </c>
      <c r="C47" s="169" t="s">
        <v>144</v>
      </c>
      <c r="D47" s="169"/>
      <c r="E47" s="172" t="s">
        <v>4</v>
      </c>
      <c r="F47" s="169"/>
      <c r="G47" s="177">
        <v>0.23</v>
      </c>
      <c r="H47" s="202">
        <v>0.6</v>
      </c>
      <c r="I47" s="203"/>
      <c r="J47" s="171"/>
      <c r="K47" s="204">
        <f t="shared" si="19"/>
        <v>260.86956521739131</v>
      </c>
      <c r="L47" s="204">
        <f t="shared" si="20"/>
        <v>208.69565217391306</v>
      </c>
      <c r="M47" s="204">
        <f t="shared" si="21"/>
        <v>130.43478260869566</v>
      </c>
      <c r="N47" s="111">
        <f t="shared" si="22"/>
        <v>0.36637330253673678</v>
      </c>
      <c r="O47" s="90"/>
      <c r="P47" s="90"/>
      <c r="Q47" s="90"/>
      <c r="R47" s="90"/>
    </row>
    <row r="48" spans="1:18" s="89" customFormat="1" ht="16.2" customHeight="1">
      <c r="A48" s="100"/>
      <c r="B48" s="153">
        <v>25</v>
      </c>
      <c r="C48" s="169" t="s">
        <v>145</v>
      </c>
      <c r="D48" s="169"/>
      <c r="E48" s="172" t="s">
        <v>4</v>
      </c>
      <c r="F48" s="169"/>
      <c r="G48" s="177">
        <v>0.2</v>
      </c>
      <c r="H48" s="202"/>
      <c r="I48" s="203"/>
      <c r="J48" s="171"/>
      <c r="K48" s="204">
        <f t="shared" si="19"/>
        <v>300</v>
      </c>
      <c r="L48" s="204">
        <f t="shared" si="20"/>
        <v>240</v>
      </c>
      <c r="M48" s="204">
        <f t="shared" si="21"/>
        <v>150</v>
      </c>
      <c r="N48" s="111">
        <f t="shared" si="22"/>
        <v>0.31858548046672763</v>
      </c>
      <c r="O48" s="90"/>
      <c r="P48" s="90"/>
      <c r="Q48" s="90"/>
      <c r="R48" s="90"/>
    </row>
    <row r="49" spans="1:18" s="89" customFormat="1" ht="16.2" customHeight="1">
      <c r="A49" s="100"/>
      <c r="B49" s="153">
        <v>26</v>
      </c>
      <c r="C49" s="169" t="s">
        <v>146</v>
      </c>
      <c r="D49" s="169"/>
      <c r="E49" s="172" t="s">
        <v>4</v>
      </c>
      <c r="F49" s="169"/>
      <c r="G49" s="177">
        <v>0.32</v>
      </c>
      <c r="H49" s="202"/>
      <c r="I49" s="203"/>
      <c r="J49" s="171"/>
      <c r="K49" s="204">
        <f t="shared" si="19"/>
        <v>187.5</v>
      </c>
      <c r="L49" s="204">
        <f t="shared" si="20"/>
        <v>150</v>
      </c>
      <c r="M49" s="204">
        <f t="shared" si="21"/>
        <v>93.75</v>
      </c>
      <c r="N49" s="111">
        <f t="shared" si="22"/>
        <v>0.50973676874676421</v>
      </c>
      <c r="O49" s="90"/>
      <c r="P49" s="90"/>
      <c r="Q49" s="90"/>
      <c r="R49" s="90"/>
    </row>
    <row r="50" spans="1:18" s="89" customFormat="1" ht="16.2" customHeight="1">
      <c r="A50" s="100"/>
      <c r="B50" s="153">
        <v>27</v>
      </c>
      <c r="C50" s="169" t="s">
        <v>147</v>
      </c>
      <c r="D50" s="169"/>
      <c r="E50" s="172" t="s">
        <v>4</v>
      </c>
      <c r="F50" s="169"/>
      <c r="G50" s="177">
        <v>0.34</v>
      </c>
      <c r="H50" s="202"/>
      <c r="I50" s="203"/>
      <c r="J50" s="171"/>
      <c r="K50" s="204">
        <f t="shared" si="19"/>
        <v>176.47058823529412</v>
      </c>
      <c r="L50" s="204">
        <f t="shared" si="20"/>
        <v>141.1764705882353</v>
      </c>
      <c r="M50" s="204">
        <f t="shared" si="21"/>
        <v>88.235294117647058</v>
      </c>
      <c r="N50" s="111">
        <f t="shared" si="22"/>
        <v>0.54159531679343698</v>
      </c>
      <c r="O50" s="90"/>
      <c r="P50" s="90"/>
      <c r="Q50" s="90"/>
      <c r="R50" s="90"/>
    </row>
    <row r="51" spans="1:18" s="89" customFormat="1" ht="16.2" customHeight="1">
      <c r="A51" s="100"/>
      <c r="B51" s="153">
        <v>28</v>
      </c>
      <c r="C51" s="169" t="s">
        <v>148</v>
      </c>
      <c r="D51" s="169"/>
      <c r="E51" s="172" t="s">
        <v>4</v>
      </c>
      <c r="F51" s="169"/>
      <c r="G51" s="177">
        <v>0.28000000000000003</v>
      </c>
      <c r="H51" s="202"/>
      <c r="I51" s="203"/>
      <c r="J51" s="171"/>
      <c r="K51" s="204">
        <f t="shared" si="19"/>
        <v>214.28571428571428</v>
      </c>
      <c r="L51" s="204">
        <f t="shared" si="20"/>
        <v>171.42857142857144</v>
      </c>
      <c r="M51" s="204">
        <f t="shared" si="21"/>
        <v>107.14285714285714</v>
      </c>
      <c r="N51" s="111">
        <f t="shared" si="22"/>
        <v>0.44601967265341874</v>
      </c>
      <c r="O51" s="90"/>
      <c r="P51" s="90"/>
      <c r="Q51" s="90"/>
      <c r="R51" s="90"/>
    </row>
    <row r="52" spans="1:18" s="89" customFormat="1" ht="16.2" customHeight="1">
      <c r="A52" s="100"/>
      <c r="B52" s="153">
        <v>29</v>
      </c>
      <c r="C52" s="169" t="s">
        <v>207</v>
      </c>
      <c r="D52" s="169"/>
      <c r="E52" s="172" t="s">
        <v>5</v>
      </c>
      <c r="F52" s="169"/>
      <c r="G52" s="177">
        <v>0.12</v>
      </c>
      <c r="H52" s="202"/>
      <c r="I52" s="203"/>
      <c r="J52" s="171"/>
      <c r="K52" s="204">
        <f t="shared" si="19"/>
        <v>500</v>
      </c>
      <c r="L52" s="204">
        <f t="shared" si="20"/>
        <v>400</v>
      </c>
      <c r="M52" s="204">
        <f t="shared" si="21"/>
        <v>250</v>
      </c>
      <c r="N52" s="111">
        <f t="shared" si="22"/>
        <v>0.19115128828003658</v>
      </c>
      <c r="O52" s="90"/>
      <c r="P52" s="90"/>
      <c r="Q52" s="90"/>
      <c r="R52" s="90"/>
    </row>
    <row r="53" spans="1:18" s="89" customFormat="1" ht="16.2" customHeight="1">
      <c r="A53" s="100"/>
      <c r="B53" s="106"/>
      <c r="C53" s="205"/>
      <c r="D53" s="170"/>
      <c r="E53" s="170"/>
      <c r="F53" s="171"/>
      <c r="G53" s="206"/>
      <c r="H53" s="202"/>
      <c r="I53" s="203"/>
      <c r="J53" s="171"/>
      <c r="K53" s="204"/>
      <c r="L53" s="204"/>
      <c r="M53" s="204"/>
      <c r="N53" s="111">
        <f t="shared" si="22"/>
        <v>0</v>
      </c>
      <c r="O53" s="90"/>
      <c r="P53" s="90"/>
      <c r="Q53" s="90"/>
      <c r="R53" s="90"/>
    </row>
    <row r="54" spans="1:18" s="89" customFormat="1" ht="16.2" customHeight="1">
      <c r="A54" s="100"/>
      <c r="B54" s="153"/>
      <c r="C54" s="207" t="s">
        <v>151</v>
      </c>
      <c r="D54" s="170"/>
      <c r="E54" s="170"/>
      <c r="F54" s="171"/>
      <c r="G54" s="206"/>
      <c r="H54" s="202"/>
      <c r="I54" s="203"/>
      <c r="J54" s="171"/>
      <c r="K54" s="204"/>
      <c r="L54" s="204"/>
      <c r="M54" s="204"/>
      <c r="N54" s="111">
        <f t="shared" si="22"/>
        <v>0</v>
      </c>
      <c r="O54" s="90"/>
      <c r="P54" s="90"/>
      <c r="Q54" s="90"/>
      <c r="R54" s="90"/>
    </row>
    <row r="55" spans="1:18" s="89" customFormat="1" ht="16.2" customHeight="1">
      <c r="A55" s="100"/>
      <c r="B55" s="153"/>
      <c r="C55" s="208"/>
      <c r="D55" s="170"/>
      <c r="E55" s="209"/>
      <c r="F55" s="171"/>
      <c r="G55" s="210"/>
      <c r="H55" s="202"/>
      <c r="I55" s="203"/>
      <c r="J55" s="171"/>
      <c r="K55" s="204"/>
      <c r="L55" s="204"/>
      <c r="M55" s="204"/>
      <c r="N55" s="111"/>
      <c r="O55" s="90"/>
      <c r="P55" s="90"/>
      <c r="Q55" s="90"/>
      <c r="R55" s="90"/>
    </row>
    <row r="56" spans="1:18" s="89" customFormat="1" ht="16.2" customHeight="1">
      <c r="A56" s="100"/>
      <c r="B56" s="153">
        <v>30</v>
      </c>
      <c r="C56" s="169" t="s">
        <v>152</v>
      </c>
      <c r="D56" s="169"/>
      <c r="E56" s="172" t="s">
        <v>4</v>
      </c>
      <c r="F56" s="169"/>
      <c r="G56" s="177">
        <v>0.4</v>
      </c>
      <c r="H56" s="202"/>
      <c r="I56" s="203"/>
      <c r="J56" s="171"/>
      <c r="K56" s="204">
        <f t="shared" ref="K56:K65" si="26">IF((G56+I56)&gt;0,60/(G56+I56),0)</f>
        <v>150</v>
      </c>
      <c r="L56" s="204">
        <f t="shared" ref="L56:L65" si="27">IF((G56+I56)&gt;0,60/(G56+I56),0)*$L$12</f>
        <v>120</v>
      </c>
      <c r="M56" s="204">
        <f t="shared" ref="M56:M65" si="28">IF((G56+I56)&gt;0,60/(G56+I56),0)*$M$12</f>
        <v>75</v>
      </c>
      <c r="N56" s="111">
        <f t="shared" ref="N56:N67" si="29">($G56+$I56)/$L$135</f>
        <v>0.63717096093345527</v>
      </c>
      <c r="O56" s="90"/>
      <c r="P56" s="90"/>
      <c r="Q56" s="90"/>
      <c r="R56" s="90"/>
    </row>
    <row r="57" spans="1:18" s="89" customFormat="1" ht="16.2" customHeight="1">
      <c r="A57" s="100"/>
      <c r="B57" s="153">
        <v>31</v>
      </c>
      <c r="C57" s="169" t="s">
        <v>153</v>
      </c>
      <c r="D57" s="169"/>
      <c r="E57" s="172" t="s">
        <v>154</v>
      </c>
      <c r="F57" s="169"/>
      <c r="G57" s="177">
        <v>0.9</v>
      </c>
      <c r="H57" s="202">
        <v>0.45</v>
      </c>
      <c r="I57" s="203"/>
      <c r="J57" s="171"/>
      <c r="K57" s="204">
        <f t="shared" si="26"/>
        <v>66.666666666666671</v>
      </c>
      <c r="L57" s="204">
        <f t="shared" si="27"/>
        <v>53.333333333333343</v>
      </c>
      <c r="M57" s="204">
        <f t="shared" si="28"/>
        <v>33.333333333333336</v>
      </c>
      <c r="N57" s="111">
        <f t="shared" si="29"/>
        <v>1.4336346621002745</v>
      </c>
      <c r="O57" s="90"/>
      <c r="P57" s="90"/>
      <c r="Q57" s="90"/>
      <c r="R57" s="90"/>
    </row>
    <row r="58" spans="1:18" s="89" customFormat="1" ht="16.2" customHeight="1">
      <c r="A58" s="100"/>
      <c r="B58" s="153">
        <v>32</v>
      </c>
      <c r="C58" s="169" t="s">
        <v>209</v>
      </c>
      <c r="D58" s="169"/>
      <c r="E58" s="172" t="s">
        <v>4</v>
      </c>
      <c r="F58" s="169"/>
      <c r="G58" s="177">
        <v>0.56000000000000005</v>
      </c>
      <c r="H58" s="202">
        <v>0.28000000000000003</v>
      </c>
      <c r="I58" s="203"/>
      <c r="J58" s="171"/>
      <c r="K58" s="204">
        <f t="shared" si="26"/>
        <v>107.14285714285714</v>
      </c>
      <c r="L58" s="204">
        <f t="shared" si="27"/>
        <v>85.714285714285722</v>
      </c>
      <c r="M58" s="204">
        <f t="shared" si="28"/>
        <v>53.571428571428569</v>
      </c>
      <c r="N58" s="111">
        <f t="shared" si="29"/>
        <v>0.89203934530683748</v>
      </c>
      <c r="O58" s="90"/>
      <c r="P58" s="90"/>
      <c r="Q58" s="90"/>
      <c r="R58" s="90"/>
    </row>
    <row r="59" spans="1:18" s="89" customFormat="1" ht="16.2" customHeight="1">
      <c r="A59" s="100"/>
      <c r="B59" s="153">
        <v>33</v>
      </c>
      <c r="C59" s="169" t="s">
        <v>210</v>
      </c>
      <c r="D59" s="169"/>
      <c r="E59" s="172" t="s">
        <v>4</v>
      </c>
      <c r="F59" s="169"/>
      <c r="G59" s="177">
        <v>0.4</v>
      </c>
      <c r="H59" s="202">
        <v>0.28000000000000003</v>
      </c>
      <c r="I59" s="203"/>
      <c r="J59" s="171"/>
      <c r="K59" s="204">
        <f t="shared" si="26"/>
        <v>150</v>
      </c>
      <c r="L59" s="204">
        <f t="shared" si="27"/>
        <v>120</v>
      </c>
      <c r="M59" s="204">
        <f t="shared" si="28"/>
        <v>75</v>
      </c>
      <c r="N59" s="111">
        <f t="shared" si="29"/>
        <v>0.63717096093345527</v>
      </c>
      <c r="O59" s="90"/>
      <c r="P59" s="90"/>
      <c r="Q59" s="90"/>
      <c r="R59" s="90"/>
    </row>
    <row r="60" spans="1:18" s="89" customFormat="1" ht="16.2" customHeight="1">
      <c r="A60" s="100"/>
      <c r="B60" s="153">
        <v>34</v>
      </c>
      <c r="C60" s="169" t="s">
        <v>211</v>
      </c>
      <c r="D60" s="169"/>
      <c r="E60" s="172" t="s">
        <v>4</v>
      </c>
      <c r="F60" s="169"/>
      <c r="G60" s="177">
        <v>0.48</v>
      </c>
      <c r="H60" s="202"/>
      <c r="I60" s="203"/>
      <c r="J60" s="171"/>
      <c r="K60" s="204">
        <f t="shared" si="26"/>
        <v>125</v>
      </c>
      <c r="L60" s="204">
        <f t="shared" si="27"/>
        <v>100</v>
      </c>
      <c r="M60" s="204">
        <f t="shared" si="28"/>
        <v>62.5</v>
      </c>
      <c r="N60" s="111">
        <f t="shared" si="29"/>
        <v>0.76460515312014632</v>
      </c>
      <c r="O60" s="90"/>
      <c r="P60" s="90"/>
      <c r="Q60" s="90"/>
      <c r="R60" s="90"/>
    </row>
    <row r="61" spans="1:18" s="89" customFormat="1" ht="16.2" customHeight="1">
      <c r="A61" s="100"/>
      <c r="B61" s="153">
        <v>35</v>
      </c>
      <c r="C61" s="169" t="s">
        <v>212</v>
      </c>
      <c r="D61" s="169"/>
      <c r="E61" s="172" t="s">
        <v>137</v>
      </c>
      <c r="F61" s="169"/>
      <c r="G61" s="177">
        <v>0.72</v>
      </c>
      <c r="H61" s="202"/>
      <c r="I61" s="203"/>
      <c r="J61" s="171"/>
      <c r="K61" s="204">
        <f t="shared" si="26"/>
        <v>83.333333333333343</v>
      </c>
      <c r="L61" s="204">
        <f t="shared" si="27"/>
        <v>66.666666666666671</v>
      </c>
      <c r="M61" s="204">
        <f t="shared" si="28"/>
        <v>41.666666666666671</v>
      </c>
      <c r="N61" s="111">
        <f t="shared" si="29"/>
        <v>1.1469077296802195</v>
      </c>
      <c r="O61" s="90"/>
      <c r="P61" s="90"/>
      <c r="Q61" s="90"/>
      <c r="R61" s="90"/>
    </row>
    <row r="62" spans="1:18" s="89" customFormat="1" ht="16.2" customHeight="1">
      <c r="A62" s="100"/>
      <c r="B62" s="153">
        <v>36</v>
      </c>
      <c r="C62" s="169" t="s">
        <v>213</v>
      </c>
      <c r="D62" s="169"/>
      <c r="E62" s="172" t="s">
        <v>4</v>
      </c>
      <c r="F62" s="169"/>
      <c r="G62" s="177">
        <v>0.68</v>
      </c>
      <c r="H62" s="202"/>
      <c r="I62" s="203"/>
      <c r="J62" s="171"/>
      <c r="K62" s="204">
        <f t="shared" si="26"/>
        <v>88.235294117647058</v>
      </c>
      <c r="L62" s="204">
        <f t="shared" si="27"/>
        <v>70.588235294117652</v>
      </c>
      <c r="M62" s="204">
        <f t="shared" si="28"/>
        <v>44.117647058823529</v>
      </c>
      <c r="N62" s="111">
        <f t="shared" si="29"/>
        <v>1.083190633586874</v>
      </c>
      <c r="O62" s="90"/>
      <c r="P62" s="90"/>
      <c r="Q62" s="90"/>
      <c r="R62" s="90"/>
    </row>
    <row r="63" spans="1:18" s="89" customFormat="1" ht="16.2" customHeight="1">
      <c r="A63" s="100"/>
      <c r="B63" s="153">
        <v>37</v>
      </c>
      <c r="C63" s="169" t="s">
        <v>214</v>
      </c>
      <c r="D63" s="169"/>
      <c r="E63" s="172" t="s">
        <v>4</v>
      </c>
      <c r="F63" s="169"/>
      <c r="G63" s="177">
        <v>0.42</v>
      </c>
      <c r="H63" s="202"/>
      <c r="I63" s="203"/>
      <c r="J63" s="171"/>
      <c r="K63" s="204">
        <f t="shared" si="26"/>
        <v>142.85714285714286</v>
      </c>
      <c r="L63" s="204">
        <f t="shared" si="27"/>
        <v>114.28571428571429</v>
      </c>
      <c r="M63" s="204">
        <f t="shared" si="28"/>
        <v>71.428571428571431</v>
      </c>
      <c r="N63" s="111">
        <f t="shared" si="29"/>
        <v>0.66902950898012803</v>
      </c>
      <c r="O63" s="90"/>
      <c r="P63" s="90"/>
      <c r="Q63" s="90"/>
      <c r="R63" s="90"/>
    </row>
    <row r="64" spans="1:18" s="89" customFormat="1" ht="16.2" customHeight="1">
      <c r="A64" s="100"/>
      <c r="B64" s="153">
        <v>38</v>
      </c>
      <c r="C64" s="169" t="s">
        <v>215</v>
      </c>
      <c r="D64" s="169"/>
      <c r="E64" s="172" t="s">
        <v>4</v>
      </c>
      <c r="F64" s="169"/>
      <c r="G64" s="177">
        <v>0.24</v>
      </c>
      <c r="H64" s="202"/>
      <c r="I64" s="203"/>
      <c r="J64" s="171"/>
      <c r="K64" s="204">
        <f t="shared" si="26"/>
        <v>250</v>
      </c>
      <c r="L64" s="204">
        <f t="shared" si="27"/>
        <v>200</v>
      </c>
      <c r="M64" s="204">
        <f t="shared" si="28"/>
        <v>125</v>
      </c>
      <c r="N64" s="111">
        <f t="shared" si="29"/>
        <v>0.38230257656007316</v>
      </c>
      <c r="O64" s="90"/>
      <c r="P64" s="90"/>
      <c r="Q64" s="90"/>
      <c r="R64" s="90"/>
    </row>
    <row r="65" spans="1:18" s="89" customFormat="1" ht="16.2" customHeight="1">
      <c r="A65" s="100"/>
      <c r="B65" s="153">
        <v>39</v>
      </c>
      <c r="C65" s="169" t="s">
        <v>216</v>
      </c>
      <c r="D65" s="169"/>
      <c r="E65" s="172" t="s">
        <v>5</v>
      </c>
      <c r="F65" s="169"/>
      <c r="G65" s="177">
        <v>0.28000000000000003</v>
      </c>
      <c r="H65" s="202"/>
      <c r="I65" s="203"/>
      <c r="J65" s="171"/>
      <c r="K65" s="204">
        <f t="shared" si="26"/>
        <v>214.28571428571428</v>
      </c>
      <c r="L65" s="204">
        <f t="shared" si="27"/>
        <v>171.42857142857144</v>
      </c>
      <c r="M65" s="204">
        <f t="shared" si="28"/>
        <v>107.14285714285714</v>
      </c>
      <c r="N65" s="111">
        <f t="shared" si="29"/>
        <v>0.44601967265341874</v>
      </c>
      <c r="O65" s="90"/>
      <c r="P65" s="90"/>
      <c r="Q65" s="90"/>
      <c r="R65" s="90"/>
    </row>
    <row r="66" spans="1:18" s="89" customFormat="1" ht="16.2" customHeight="1">
      <c r="A66" s="100"/>
      <c r="B66" s="114"/>
      <c r="C66" s="169"/>
      <c r="D66" s="169"/>
      <c r="E66" s="172"/>
      <c r="F66" s="169"/>
      <c r="G66" s="177"/>
      <c r="H66" s="202"/>
      <c r="I66" s="203"/>
      <c r="J66" s="171"/>
      <c r="K66" s="204"/>
      <c r="L66" s="204"/>
      <c r="M66" s="204"/>
      <c r="N66" s="111">
        <f t="shared" si="29"/>
        <v>0</v>
      </c>
      <c r="O66" s="90"/>
      <c r="P66" s="90"/>
      <c r="Q66" s="90"/>
      <c r="R66" s="90"/>
    </row>
    <row r="67" spans="1:18" s="89" customFormat="1" ht="16.2" customHeight="1">
      <c r="A67" s="100"/>
      <c r="B67" s="153"/>
      <c r="C67" s="207" t="s">
        <v>155</v>
      </c>
      <c r="D67" s="169"/>
      <c r="E67" s="172"/>
      <c r="F67" s="169"/>
      <c r="G67" s="177"/>
      <c r="H67" s="202"/>
      <c r="I67" s="203"/>
      <c r="J67" s="171"/>
      <c r="K67" s="204"/>
      <c r="L67" s="204"/>
      <c r="M67" s="204"/>
      <c r="N67" s="111">
        <f t="shared" si="29"/>
        <v>0</v>
      </c>
      <c r="O67" s="90"/>
      <c r="P67" s="90"/>
      <c r="Q67" s="90"/>
      <c r="R67" s="90"/>
    </row>
    <row r="68" spans="1:18" s="89" customFormat="1" ht="16.2" customHeight="1">
      <c r="A68" s="100"/>
      <c r="B68" s="153"/>
      <c r="C68" s="169"/>
      <c r="D68" s="169"/>
      <c r="E68" s="172"/>
      <c r="F68" s="169"/>
      <c r="G68" s="177"/>
      <c r="H68" s="202"/>
      <c r="I68" s="203"/>
      <c r="J68" s="171"/>
      <c r="K68" s="204"/>
      <c r="L68" s="204"/>
      <c r="M68" s="204"/>
      <c r="N68" s="111"/>
      <c r="O68" s="90"/>
      <c r="P68" s="90"/>
      <c r="Q68" s="90"/>
      <c r="R68" s="90"/>
    </row>
    <row r="69" spans="1:18" s="89" customFormat="1" ht="16.2" customHeight="1">
      <c r="A69" s="100"/>
      <c r="B69" s="153">
        <v>40</v>
      </c>
      <c r="C69" s="169" t="s">
        <v>172</v>
      </c>
      <c r="D69" s="169"/>
      <c r="E69" s="172" t="s">
        <v>4</v>
      </c>
      <c r="F69" s="169"/>
      <c r="G69" s="177">
        <v>0.44</v>
      </c>
      <c r="H69" s="202"/>
      <c r="I69" s="203"/>
      <c r="J69" s="171"/>
      <c r="K69" s="204">
        <f t="shared" ref="K69" si="30">IF((G69+I69)&gt;0,60/(G69+I69),0)</f>
        <v>136.36363636363637</v>
      </c>
      <c r="L69" s="204">
        <f t="shared" ref="L69" si="31">IF((G69+I69)&gt;0,60/(G69+I69),0)*$L$12</f>
        <v>109.09090909090911</v>
      </c>
      <c r="M69" s="204">
        <f t="shared" ref="M69" si="32">IF((G69+I69)&gt;0,60/(G69+I69),0)*$M$12</f>
        <v>68.181818181818187</v>
      </c>
      <c r="N69" s="111"/>
      <c r="O69" s="90"/>
      <c r="P69" s="90"/>
      <c r="Q69" s="90"/>
      <c r="R69" s="90"/>
    </row>
    <row r="70" spans="1:18" s="89" customFormat="1" ht="16.2" customHeight="1">
      <c r="A70" s="100"/>
      <c r="B70" s="153">
        <v>41</v>
      </c>
      <c r="C70" s="169" t="s">
        <v>156</v>
      </c>
      <c r="D70" s="169"/>
      <c r="E70" s="172" t="s">
        <v>137</v>
      </c>
      <c r="F70" s="169"/>
      <c r="G70" s="177">
        <v>0.32</v>
      </c>
      <c r="H70" s="202"/>
      <c r="I70" s="203"/>
      <c r="J70" s="171"/>
      <c r="K70" s="204">
        <f t="shared" ref="K70:K71" si="33">IF((G70+I70)&gt;0,60/(G70+I70),0)</f>
        <v>187.5</v>
      </c>
      <c r="L70" s="204">
        <f t="shared" ref="L70:L71" si="34">IF((G70+I70)&gt;0,60/(G70+I70),0)*$L$12</f>
        <v>150</v>
      </c>
      <c r="M70" s="204">
        <f t="shared" ref="M70:M71" si="35">IF((G70+I70)&gt;0,60/(G70+I70),0)*$M$12</f>
        <v>93.75</v>
      </c>
      <c r="N70" s="111">
        <f>($G70+$I70)/$L$135</f>
        <v>0.50973676874676421</v>
      </c>
      <c r="O70" s="90"/>
      <c r="P70" s="90"/>
      <c r="Q70" s="90"/>
      <c r="R70" s="90"/>
    </row>
    <row r="71" spans="1:18" s="89" customFormat="1" ht="16.2" customHeight="1">
      <c r="A71" s="100"/>
      <c r="B71" s="153">
        <v>42</v>
      </c>
      <c r="C71" s="169" t="s">
        <v>208</v>
      </c>
      <c r="D71" s="169"/>
      <c r="E71" s="172" t="s">
        <v>4</v>
      </c>
      <c r="F71" s="169"/>
      <c r="G71" s="177">
        <v>0.38</v>
      </c>
      <c r="H71" s="202"/>
      <c r="I71" s="203"/>
      <c r="J71" s="171"/>
      <c r="K71" s="204">
        <f t="shared" si="33"/>
        <v>157.89473684210526</v>
      </c>
      <c r="L71" s="204">
        <f t="shared" si="34"/>
        <v>126.31578947368422</v>
      </c>
      <c r="M71" s="204">
        <f t="shared" si="35"/>
        <v>78.94736842105263</v>
      </c>
      <c r="N71" s="111">
        <f>($G71+$I71)/$L$135</f>
        <v>0.6053124128867825</v>
      </c>
      <c r="O71" s="90"/>
      <c r="P71" s="90"/>
      <c r="Q71" s="90"/>
      <c r="R71" s="90"/>
    </row>
    <row r="72" spans="1:18" s="89" customFormat="1" ht="16.2" customHeight="1">
      <c r="A72" s="100"/>
      <c r="B72" s="153">
        <v>43</v>
      </c>
      <c r="C72" s="169" t="s">
        <v>221</v>
      </c>
      <c r="D72" s="169"/>
      <c r="E72" s="172" t="s">
        <v>137</v>
      </c>
      <c r="F72" s="169"/>
      <c r="G72" s="177">
        <v>0.2</v>
      </c>
      <c r="H72" s="202"/>
      <c r="I72" s="203"/>
      <c r="J72" s="171"/>
      <c r="K72" s="204"/>
      <c r="L72" s="204"/>
      <c r="M72" s="204"/>
      <c r="N72" s="111"/>
      <c r="O72" s="90"/>
      <c r="P72" s="90"/>
      <c r="Q72" s="90"/>
      <c r="R72" s="90"/>
    </row>
    <row r="73" spans="1:18" s="89" customFormat="1" ht="16.2" customHeight="1">
      <c r="A73" s="100"/>
      <c r="B73" s="153"/>
      <c r="C73" s="169"/>
      <c r="D73" s="169"/>
      <c r="E73" s="172"/>
      <c r="F73" s="169"/>
      <c r="G73" s="177"/>
      <c r="H73" s="202"/>
      <c r="I73" s="203"/>
      <c r="J73" s="171"/>
      <c r="K73" s="204"/>
      <c r="L73" s="204"/>
      <c r="M73" s="204"/>
      <c r="N73" s="111">
        <f t="shared" ref="N73:N82" si="36">($G73+$I73)/$L$135</f>
        <v>0</v>
      </c>
      <c r="O73" s="90"/>
      <c r="P73" s="90"/>
      <c r="Q73" s="90"/>
      <c r="R73" s="90"/>
    </row>
    <row r="74" spans="1:18" s="89" customFormat="1" ht="16.2" customHeight="1">
      <c r="A74" s="100"/>
      <c r="B74" s="153"/>
      <c r="C74" s="207" t="s">
        <v>158</v>
      </c>
      <c r="D74" s="169"/>
      <c r="E74" s="172"/>
      <c r="F74" s="169"/>
      <c r="G74" s="177"/>
      <c r="H74" s="202"/>
      <c r="I74" s="203"/>
      <c r="J74" s="171"/>
      <c r="K74" s="204"/>
      <c r="L74" s="204"/>
      <c r="M74" s="204"/>
      <c r="N74" s="111">
        <f t="shared" si="36"/>
        <v>0</v>
      </c>
      <c r="O74" s="90"/>
      <c r="P74" s="90"/>
      <c r="Q74" s="90"/>
      <c r="R74" s="90"/>
    </row>
    <row r="75" spans="1:18" s="89" customFormat="1" ht="16.2" customHeight="1">
      <c r="A75" s="100"/>
      <c r="B75" s="153"/>
      <c r="C75" s="169"/>
      <c r="D75" s="169"/>
      <c r="E75" s="172"/>
      <c r="F75" s="169"/>
      <c r="G75" s="177"/>
      <c r="H75" s="202"/>
      <c r="I75" s="203"/>
      <c r="J75" s="171"/>
      <c r="K75" s="204"/>
      <c r="L75" s="204"/>
      <c r="M75" s="204"/>
      <c r="N75" s="111">
        <f t="shared" si="36"/>
        <v>0</v>
      </c>
      <c r="O75" s="90"/>
      <c r="P75" s="90"/>
      <c r="Q75" s="90"/>
      <c r="R75" s="90"/>
    </row>
    <row r="76" spans="1:18" s="89" customFormat="1" ht="16.2" customHeight="1">
      <c r="A76" s="115"/>
      <c r="B76" s="153">
        <v>44</v>
      </c>
      <c r="C76" s="169" t="s">
        <v>217</v>
      </c>
      <c r="D76" s="169"/>
      <c r="E76" s="172" t="s">
        <v>4</v>
      </c>
      <c r="F76" s="169"/>
      <c r="G76" s="177">
        <v>0.64</v>
      </c>
      <c r="H76" s="211"/>
      <c r="I76" s="203"/>
      <c r="J76" s="171"/>
      <c r="K76" s="204">
        <f t="shared" ref="K76:K79" si="37">IF((G76+I76)&gt;0,60/(G76+I76),0)</f>
        <v>93.75</v>
      </c>
      <c r="L76" s="204">
        <f t="shared" ref="L76:L79" si="38">IF((G76+I76)&gt;0,60/(G76+I76),0)*$L$12</f>
        <v>75</v>
      </c>
      <c r="M76" s="204">
        <f t="shared" ref="M76:M79" si="39">IF((G76+I76)&gt;0,60/(G76+I76),0)*$M$12</f>
        <v>46.875</v>
      </c>
      <c r="N76" s="111">
        <f t="shared" si="36"/>
        <v>1.0194735374935284</v>
      </c>
      <c r="O76" s="90"/>
      <c r="P76" s="90"/>
      <c r="Q76" s="90"/>
      <c r="R76" s="90"/>
    </row>
    <row r="77" spans="1:18" s="89" customFormat="1" ht="16.2" customHeight="1">
      <c r="A77" s="115"/>
      <c r="B77" s="153">
        <v>45</v>
      </c>
      <c r="C77" s="169" t="s">
        <v>159</v>
      </c>
      <c r="D77" s="169"/>
      <c r="E77" s="172" t="s">
        <v>4</v>
      </c>
      <c r="F77" s="169"/>
      <c r="G77" s="177">
        <v>0.48</v>
      </c>
      <c r="H77" s="211"/>
      <c r="I77" s="203"/>
      <c r="J77" s="171"/>
      <c r="K77" s="204">
        <f t="shared" si="37"/>
        <v>125</v>
      </c>
      <c r="L77" s="204">
        <f t="shared" si="38"/>
        <v>100</v>
      </c>
      <c r="M77" s="204">
        <f t="shared" si="39"/>
        <v>62.5</v>
      </c>
      <c r="N77" s="111">
        <f t="shared" si="36"/>
        <v>0.76460515312014632</v>
      </c>
      <c r="O77" s="90"/>
      <c r="P77" s="90"/>
      <c r="Q77" s="90"/>
      <c r="R77" s="90"/>
    </row>
    <row r="78" spans="1:18" s="89" customFormat="1" ht="16.2" customHeight="1">
      <c r="A78" s="115"/>
      <c r="B78" s="153">
        <v>46</v>
      </c>
      <c r="C78" s="169" t="s">
        <v>160</v>
      </c>
      <c r="D78" s="169"/>
      <c r="E78" s="172" t="s">
        <v>4</v>
      </c>
      <c r="F78" s="169"/>
      <c r="G78" s="177">
        <v>0.16</v>
      </c>
      <c r="H78" s="211"/>
      <c r="I78" s="203"/>
      <c r="J78" s="171"/>
      <c r="K78" s="204">
        <f t="shared" si="37"/>
        <v>375</v>
      </c>
      <c r="L78" s="204">
        <f t="shared" si="38"/>
        <v>300</v>
      </c>
      <c r="M78" s="204">
        <f t="shared" si="39"/>
        <v>187.5</v>
      </c>
      <c r="N78" s="111">
        <f t="shared" si="36"/>
        <v>0.25486838437338211</v>
      </c>
      <c r="O78" s="90"/>
      <c r="P78" s="90"/>
      <c r="Q78" s="90"/>
      <c r="R78" s="90"/>
    </row>
    <row r="79" spans="1:18" s="89" customFormat="1" ht="16.2" customHeight="1">
      <c r="A79" s="115"/>
      <c r="B79" s="153">
        <v>47</v>
      </c>
      <c r="C79" s="169" t="s">
        <v>161</v>
      </c>
      <c r="D79" s="169"/>
      <c r="E79" s="172" t="s">
        <v>4</v>
      </c>
      <c r="F79" s="169"/>
      <c r="G79" s="177">
        <v>0.98</v>
      </c>
      <c r="H79" s="211"/>
      <c r="I79" s="203"/>
      <c r="J79" s="171"/>
      <c r="K79" s="204">
        <f t="shared" si="37"/>
        <v>61.224489795918366</v>
      </c>
      <c r="L79" s="204">
        <f t="shared" si="38"/>
        <v>48.979591836734699</v>
      </c>
      <c r="M79" s="204">
        <f t="shared" si="39"/>
        <v>30.612244897959183</v>
      </c>
      <c r="N79" s="111">
        <f t="shared" si="36"/>
        <v>1.5610688542869653</v>
      </c>
      <c r="O79" s="90"/>
      <c r="P79" s="90"/>
      <c r="Q79" s="90"/>
      <c r="R79" s="90"/>
    </row>
    <row r="80" spans="1:18" s="89" customFormat="1" ht="16.2" customHeight="1">
      <c r="A80" s="115"/>
      <c r="B80" s="153">
        <v>48</v>
      </c>
      <c r="C80" s="169" t="s">
        <v>162</v>
      </c>
      <c r="D80" s="169"/>
      <c r="E80" s="172" t="s">
        <v>163</v>
      </c>
      <c r="F80" s="169"/>
      <c r="G80" s="177">
        <v>0.92</v>
      </c>
      <c r="H80" s="211">
        <v>0.38</v>
      </c>
      <c r="I80" s="203"/>
      <c r="J80" s="171"/>
      <c r="K80" s="204">
        <f>IF((G80+I80)&gt;0,60/(G80+I80),0)</f>
        <v>65.217391304347828</v>
      </c>
      <c r="L80" s="204">
        <f>IF((G80+I80)&gt;0,60/(G80+I80),0)*$L$12</f>
        <v>52.173913043478265</v>
      </c>
      <c r="M80" s="204">
        <f>IF((G80+I80)&gt;0,60/(G80+I80),0)*$M$12</f>
        <v>32.608695652173914</v>
      </c>
      <c r="N80" s="111">
        <f t="shared" si="36"/>
        <v>1.4654932101469471</v>
      </c>
      <c r="O80" s="90"/>
      <c r="P80" s="90"/>
      <c r="Q80" s="90"/>
      <c r="R80" s="90"/>
    </row>
    <row r="81" spans="1:18" s="89" customFormat="1" ht="16.2" customHeight="1">
      <c r="A81" s="115"/>
      <c r="B81" s="106"/>
      <c r="C81" s="169"/>
      <c r="D81" s="169"/>
      <c r="E81" s="172"/>
      <c r="F81" s="169"/>
      <c r="G81" s="177"/>
      <c r="H81" s="202">
        <v>0.65</v>
      </c>
      <c r="I81" s="203"/>
      <c r="J81" s="171"/>
      <c r="K81" s="204"/>
      <c r="L81" s="204"/>
      <c r="M81" s="204"/>
      <c r="N81" s="111">
        <f t="shared" si="36"/>
        <v>0</v>
      </c>
      <c r="O81" s="90"/>
      <c r="P81" s="90"/>
      <c r="Q81" s="90"/>
      <c r="R81" s="90"/>
    </row>
    <row r="82" spans="1:18" s="89" customFormat="1" ht="16.2" customHeight="1">
      <c r="A82" s="115"/>
      <c r="B82" s="153"/>
      <c r="C82" s="207" t="s">
        <v>165</v>
      </c>
      <c r="D82" s="169"/>
      <c r="E82" s="172"/>
      <c r="F82" s="169"/>
      <c r="G82" s="177"/>
      <c r="H82" s="202">
        <v>0.6</v>
      </c>
      <c r="I82" s="203"/>
      <c r="J82" s="171"/>
      <c r="K82" s="204"/>
      <c r="L82" s="204"/>
      <c r="M82" s="204"/>
      <c r="N82" s="111">
        <f t="shared" si="36"/>
        <v>0</v>
      </c>
      <c r="O82" s="90"/>
      <c r="P82" s="90"/>
      <c r="Q82" s="90"/>
      <c r="R82" s="90"/>
    </row>
    <row r="83" spans="1:18" s="89" customFormat="1" ht="16.2" customHeight="1">
      <c r="A83" s="115"/>
      <c r="B83" s="153"/>
      <c r="C83" s="169"/>
      <c r="D83" s="169"/>
      <c r="E83" s="172"/>
      <c r="F83" s="169"/>
      <c r="G83" s="177"/>
      <c r="H83" s="202"/>
      <c r="I83" s="203"/>
      <c r="J83" s="171"/>
      <c r="K83" s="204"/>
      <c r="L83" s="204"/>
      <c r="M83" s="204"/>
      <c r="N83" s="111"/>
      <c r="O83" s="90"/>
      <c r="P83" s="90"/>
      <c r="Q83" s="90"/>
      <c r="R83" s="90"/>
    </row>
    <row r="84" spans="1:18" s="89" customFormat="1" ht="16.2" customHeight="1">
      <c r="A84" s="115"/>
      <c r="B84" s="153">
        <v>49</v>
      </c>
      <c r="C84" s="169" t="s">
        <v>220</v>
      </c>
      <c r="D84" s="169"/>
      <c r="E84" s="172" t="s">
        <v>4</v>
      </c>
      <c r="F84" s="169"/>
      <c r="G84" s="177">
        <v>0.4</v>
      </c>
      <c r="H84" s="202"/>
      <c r="I84" s="203"/>
      <c r="J84" s="171"/>
      <c r="K84" s="204">
        <f t="shared" ref="K84:K86" si="40">IF((G84+I84)&gt;0,60/(G84+I84),0)</f>
        <v>150</v>
      </c>
      <c r="L84" s="204">
        <f t="shared" ref="L84:L86" si="41">IF((G84+I84)&gt;0,60/(G84+I84),0)*$L$12</f>
        <v>120</v>
      </c>
      <c r="M84" s="204">
        <f t="shared" ref="M84:M86" si="42">IF((G84+I84)&gt;0,60/(G84+I84),0)*$M$12</f>
        <v>75</v>
      </c>
      <c r="N84" s="111"/>
      <c r="O84" s="90"/>
      <c r="P84" s="90"/>
      <c r="Q84" s="90"/>
      <c r="R84" s="90"/>
    </row>
    <row r="85" spans="1:18" s="89" customFormat="1" ht="16.2" customHeight="1">
      <c r="A85" s="115"/>
      <c r="B85" s="153">
        <v>50</v>
      </c>
      <c r="C85" s="169" t="s">
        <v>223</v>
      </c>
      <c r="D85" s="169"/>
      <c r="E85" s="172" t="s">
        <v>4</v>
      </c>
      <c r="F85" s="169"/>
      <c r="G85" s="177">
        <v>0.62</v>
      </c>
      <c r="H85" s="202"/>
      <c r="I85" s="203"/>
      <c r="J85" s="171"/>
      <c r="K85" s="204">
        <f t="shared" si="40"/>
        <v>96.774193548387103</v>
      </c>
      <c r="L85" s="204">
        <f t="shared" si="41"/>
        <v>77.419354838709694</v>
      </c>
      <c r="M85" s="204">
        <f t="shared" si="42"/>
        <v>48.387096774193552</v>
      </c>
      <c r="N85" s="111"/>
      <c r="O85" s="90"/>
      <c r="P85" s="90"/>
      <c r="Q85" s="90"/>
      <c r="R85" s="90"/>
    </row>
    <row r="86" spans="1:18" s="89" customFormat="1" ht="16.2" customHeight="1">
      <c r="A86" s="115"/>
      <c r="B86" s="153">
        <v>51</v>
      </c>
      <c r="C86" s="169" t="s">
        <v>224</v>
      </c>
      <c r="D86" s="169"/>
      <c r="E86" s="172" t="s">
        <v>5</v>
      </c>
      <c r="F86" s="169"/>
      <c r="G86" s="177">
        <v>0.12</v>
      </c>
      <c r="H86" s="202"/>
      <c r="I86" s="203"/>
      <c r="J86" s="171"/>
      <c r="K86" s="204">
        <f t="shared" si="40"/>
        <v>500</v>
      </c>
      <c r="L86" s="204">
        <f t="shared" si="41"/>
        <v>400</v>
      </c>
      <c r="M86" s="204">
        <f t="shared" si="42"/>
        <v>250</v>
      </c>
      <c r="N86" s="111"/>
      <c r="O86" s="90"/>
      <c r="P86" s="90"/>
      <c r="Q86" s="90"/>
      <c r="R86" s="90"/>
    </row>
    <row r="87" spans="1:18" s="89" customFormat="1" ht="16.2" customHeight="1">
      <c r="A87" s="115"/>
      <c r="B87" s="153">
        <v>52</v>
      </c>
      <c r="C87" s="169" t="s">
        <v>166</v>
      </c>
      <c r="D87" s="169"/>
      <c r="E87" s="172" t="s">
        <v>157</v>
      </c>
      <c r="F87" s="169"/>
      <c r="G87" s="177">
        <v>0.88</v>
      </c>
      <c r="H87" s="202">
        <v>0.75</v>
      </c>
      <c r="I87" s="203"/>
      <c r="J87" s="171"/>
      <c r="K87" s="204">
        <f t="shared" ref="K87:K88" si="43">IF((G87+I87)&gt;0,60/(G87+I87),0)</f>
        <v>68.181818181818187</v>
      </c>
      <c r="L87" s="204">
        <f t="shared" ref="L87:L88" si="44">IF((G87+I87)&gt;0,60/(G87+I87),0)*$L$12</f>
        <v>54.545454545454554</v>
      </c>
      <c r="M87" s="204">
        <f t="shared" ref="M87:M88" si="45">IF((G87+I87)&gt;0,60/(G87+I87),0)*$M$12</f>
        <v>34.090909090909093</v>
      </c>
      <c r="N87" s="111">
        <f t="shared" ref="N87:N98" si="46">($G87+$I87)/$L$135</f>
        <v>1.4017761140536016</v>
      </c>
      <c r="O87" s="90"/>
      <c r="P87" s="90"/>
      <c r="Q87" s="90"/>
      <c r="R87" s="90"/>
    </row>
    <row r="88" spans="1:18" s="89" customFormat="1" ht="16.2" customHeight="1">
      <c r="A88" s="115"/>
      <c r="B88" s="153">
        <v>53</v>
      </c>
      <c r="C88" s="169" t="s">
        <v>167</v>
      </c>
      <c r="D88" s="169"/>
      <c r="E88" s="172" t="s">
        <v>4</v>
      </c>
      <c r="F88" s="169"/>
      <c r="G88" s="177">
        <v>0.36</v>
      </c>
      <c r="H88" s="202"/>
      <c r="I88" s="203"/>
      <c r="J88" s="171"/>
      <c r="K88" s="204">
        <f t="shared" si="43"/>
        <v>166.66666666666669</v>
      </c>
      <c r="L88" s="204">
        <f t="shared" si="44"/>
        <v>133.33333333333334</v>
      </c>
      <c r="M88" s="204">
        <f t="shared" si="45"/>
        <v>83.333333333333343</v>
      </c>
      <c r="N88" s="111">
        <f t="shared" si="46"/>
        <v>0.57345386484010974</v>
      </c>
      <c r="O88" s="90"/>
      <c r="P88" s="90"/>
      <c r="Q88" s="90"/>
      <c r="R88" s="90"/>
    </row>
    <row r="89" spans="1:18" s="89" customFormat="1" ht="16.2" customHeight="1">
      <c r="A89" s="100"/>
      <c r="B89" s="153">
        <v>54</v>
      </c>
      <c r="C89" s="169" t="s">
        <v>168</v>
      </c>
      <c r="D89" s="169"/>
      <c r="E89" s="172" t="s">
        <v>4</v>
      </c>
      <c r="F89" s="169"/>
      <c r="G89" s="177">
        <v>0.28000000000000003</v>
      </c>
      <c r="H89" s="212"/>
      <c r="I89" s="213"/>
      <c r="J89" s="213"/>
      <c r="K89" s="204">
        <f t="shared" ref="K89" si="47">IF((G89+I89)&gt;0,60/(G89+I89),0)</f>
        <v>214.28571428571428</v>
      </c>
      <c r="L89" s="204">
        <f t="shared" ref="L89" si="48">IF((G89+I89)&gt;0,60/(G89+I89),0)*$L$12</f>
        <v>171.42857142857144</v>
      </c>
      <c r="M89" s="204">
        <f t="shared" ref="M89" si="49">IF((G89+I89)&gt;0,60/(G89+I89),0)*$M$12</f>
        <v>107.14285714285714</v>
      </c>
      <c r="N89" s="111">
        <f t="shared" si="46"/>
        <v>0.44601967265341874</v>
      </c>
      <c r="O89" s="90"/>
      <c r="P89" s="90"/>
      <c r="Q89" s="90"/>
      <c r="R89" s="90"/>
    </row>
    <row r="90" spans="1:18" s="89" customFormat="1" ht="16.2" customHeight="1">
      <c r="A90" s="100"/>
      <c r="B90" s="153">
        <v>55</v>
      </c>
      <c r="C90" s="169" t="s">
        <v>169</v>
      </c>
      <c r="D90" s="169"/>
      <c r="E90" s="172" t="s">
        <v>4</v>
      </c>
      <c r="F90" s="169"/>
      <c r="G90" s="177">
        <v>0.5</v>
      </c>
      <c r="H90" s="202">
        <v>0.36</v>
      </c>
      <c r="I90" s="203"/>
      <c r="J90" s="171"/>
      <c r="K90" s="204">
        <f t="shared" ref="K90:K94" si="50">IF((G90+I90)&gt;0,60/(G90+I90),0)</f>
        <v>120</v>
      </c>
      <c r="L90" s="204">
        <f t="shared" ref="L90:L94" si="51">IF((G90+I90)&gt;0,60/(G90+I90),0)*$L$12</f>
        <v>96</v>
      </c>
      <c r="M90" s="204">
        <f t="shared" ref="M90:M94" si="52">IF((G90+I90)&gt;0,60/(G90+I90),0)*$M$12</f>
        <v>60</v>
      </c>
      <c r="N90" s="111">
        <f t="shared" si="46"/>
        <v>0.79646370116681908</v>
      </c>
      <c r="O90" s="90"/>
      <c r="P90" s="90"/>
      <c r="Q90" s="90"/>
      <c r="R90" s="90"/>
    </row>
    <row r="91" spans="1:18" s="89" customFormat="1" ht="16.2" customHeight="1">
      <c r="A91" s="100"/>
      <c r="B91" s="153">
        <v>56</v>
      </c>
      <c r="C91" s="169" t="s">
        <v>170</v>
      </c>
      <c r="D91" s="169"/>
      <c r="E91" s="172" t="s">
        <v>4</v>
      </c>
      <c r="F91" s="169"/>
      <c r="G91" s="177">
        <v>0.44</v>
      </c>
      <c r="H91" s="202"/>
      <c r="I91" s="203"/>
      <c r="J91" s="171"/>
      <c r="K91" s="204">
        <f t="shared" si="50"/>
        <v>136.36363636363637</v>
      </c>
      <c r="L91" s="204">
        <f t="shared" si="51"/>
        <v>109.09090909090911</v>
      </c>
      <c r="M91" s="204">
        <f t="shared" si="52"/>
        <v>68.181818181818187</v>
      </c>
      <c r="N91" s="111">
        <f t="shared" si="46"/>
        <v>0.70088805702680079</v>
      </c>
      <c r="O91" s="90"/>
      <c r="P91" s="90"/>
      <c r="Q91" s="90"/>
      <c r="R91" s="90"/>
    </row>
    <row r="92" spans="1:18" s="89" customFormat="1" ht="16.2" customHeight="1">
      <c r="A92" s="100"/>
      <c r="B92" s="153">
        <v>57</v>
      </c>
      <c r="C92" s="169" t="s">
        <v>225</v>
      </c>
      <c r="D92" s="169"/>
      <c r="E92" s="172" t="s">
        <v>5</v>
      </c>
      <c r="F92" s="169"/>
      <c r="G92" s="177">
        <v>0.3</v>
      </c>
      <c r="H92" s="202"/>
      <c r="I92" s="203"/>
      <c r="J92" s="171"/>
      <c r="K92" s="204">
        <f t="shared" si="50"/>
        <v>200</v>
      </c>
      <c r="L92" s="204">
        <f t="shared" si="51"/>
        <v>160</v>
      </c>
      <c r="M92" s="204">
        <f t="shared" si="52"/>
        <v>100</v>
      </c>
      <c r="N92" s="111">
        <f t="shared" si="46"/>
        <v>0.47787822070009145</v>
      </c>
      <c r="O92" s="90"/>
      <c r="P92" s="90"/>
      <c r="Q92" s="90"/>
      <c r="R92" s="90"/>
    </row>
    <row r="93" spans="1:18" s="89" customFormat="1" ht="16.2" customHeight="1">
      <c r="A93" s="100"/>
      <c r="B93" s="153">
        <v>58</v>
      </c>
      <c r="C93" s="169" t="s">
        <v>171</v>
      </c>
      <c r="D93" s="169"/>
      <c r="E93" s="172" t="s">
        <v>4</v>
      </c>
      <c r="F93" s="169"/>
      <c r="G93" s="177">
        <v>0.38</v>
      </c>
      <c r="H93" s="202"/>
      <c r="I93" s="203"/>
      <c r="J93" s="171"/>
      <c r="K93" s="204">
        <f t="shared" si="50"/>
        <v>157.89473684210526</v>
      </c>
      <c r="L93" s="204">
        <f t="shared" si="51"/>
        <v>126.31578947368422</v>
      </c>
      <c r="M93" s="204">
        <f t="shared" si="52"/>
        <v>78.94736842105263</v>
      </c>
      <c r="N93" s="111">
        <f t="shared" si="46"/>
        <v>0.6053124128867825</v>
      </c>
      <c r="O93" s="90"/>
      <c r="P93" s="90"/>
      <c r="Q93" s="90"/>
      <c r="R93" s="90"/>
    </row>
    <row r="94" spans="1:18" s="89" customFormat="1" ht="16.2" customHeight="1">
      <c r="A94" s="100"/>
      <c r="B94" s="153">
        <v>59</v>
      </c>
      <c r="C94" s="169" t="s">
        <v>226</v>
      </c>
      <c r="D94" s="169"/>
      <c r="E94" s="172" t="s">
        <v>5</v>
      </c>
      <c r="F94" s="169"/>
      <c r="G94" s="177">
        <v>0.3</v>
      </c>
      <c r="H94" s="202"/>
      <c r="I94" s="203"/>
      <c r="J94" s="171"/>
      <c r="K94" s="204">
        <f t="shared" si="50"/>
        <v>200</v>
      </c>
      <c r="L94" s="204">
        <f t="shared" si="51"/>
        <v>160</v>
      </c>
      <c r="M94" s="204">
        <f t="shared" si="52"/>
        <v>100</v>
      </c>
      <c r="N94" s="111">
        <f t="shared" si="46"/>
        <v>0.47787822070009145</v>
      </c>
      <c r="O94" s="90"/>
      <c r="P94" s="90"/>
      <c r="Q94" s="90"/>
      <c r="R94" s="90"/>
    </row>
    <row r="95" spans="1:18" s="89" customFormat="1" ht="16.2" customHeight="1">
      <c r="A95" s="100"/>
      <c r="B95" s="153">
        <v>60</v>
      </c>
      <c r="C95" s="169" t="s">
        <v>173</v>
      </c>
      <c r="D95" s="169"/>
      <c r="E95" s="172" t="s">
        <v>157</v>
      </c>
      <c r="F95" s="169"/>
      <c r="G95" s="177">
        <v>0.57999999999999996</v>
      </c>
      <c r="H95" s="202">
        <v>0.76</v>
      </c>
      <c r="I95" s="203"/>
      <c r="J95" s="171"/>
      <c r="K95" s="204">
        <f t="shared" ref="K95" si="53">IF((G95+I95)&gt;0,60/(G95+I95),0)</f>
        <v>103.44827586206897</v>
      </c>
      <c r="L95" s="204">
        <f t="shared" ref="L95" si="54">IF((G95+I95)&gt;0,60/(G95+I95),0)*$L$12</f>
        <v>82.758620689655174</v>
      </c>
      <c r="M95" s="204">
        <f t="shared" ref="M95" si="55">IF((G95+I95)&gt;0,60/(G95+I95),0)*$M$12</f>
        <v>51.724137931034484</v>
      </c>
      <c r="N95" s="111">
        <f t="shared" si="46"/>
        <v>0.92389789335351002</v>
      </c>
      <c r="O95" s="90"/>
      <c r="P95" s="90"/>
      <c r="Q95" s="90"/>
      <c r="R95" s="90"/>
    </row>
    <row r="96" spans="1:18" s="89" customFormat="1" ht="16.2" customHeight="1">
      <c r="A96" s="100"/>
      <c r="B96" s="153">
        <v>61</v>
      </c>
      <c r="C96" s="169" t="s">
        <v>174</v>
      </c>
      <c r="D96" s="169"/>
      <c r="E96" s="172" t="s">
        <v>4</v>
      </c>
      <c r="F96" s="169"/>
      <c r="G96" s="177">
        <v>0.67</v>
      </c>
      <c r="H96" s="202">
        <v>0.62</v>
      </c>
      <c r="I96" s="203"/>
      <c r="J96" s="171"/>
      <c r="K96" s="204">
        <f t="shared" ref="K96:K98" si="56">IF((G96+I96)&gt;0,60/(G96+I96),0)</f>
        <v>89.552238805970148</v>
      </c>
      <c r="L96" s="204">
        <f t="shared" ref="L96:L98" si="57">IF((G96+I96)&gt;0,60/(G96+I96),0)*$L$12</f>
        <v>71.641791044776127</v>
      </c>
      <c r="M96" s="204">
        <f t="shared" ref="M96:M98" si="58">IF((G96+I96)&gt;0,60/(G96+I96),0)*$M$12</f>
        <v>44.776119402985074</v>
      </c>
      <c r="N96" s="111">
        <f t="shared" si="46"/>
        <v>1.0672613595635376</v>
      </c>
      <c r="O96" s="90"/>
      <c r="P96" s="90"/>
      <c r="Q96" s="90"/>
      <c r="R96" s="90"/>
    </row>
    <row r="97" spans="1:18" s="89" customFormat="1" ht="16.2" customHeight="1">
      <c r="A97" s="100"/>
      <c r="B97" s="153">
        <v>62</v>
      </c>
      <c r="C97" s="169" t="s">
        <v>175</v>
      </c>
      <c r="D97" s="169"/>
      <c r="E97" s="172" t="s">
        <v>5</v>
      </c>
      <c r="F97" s="169"/>
      <c r="G97" s="177">
        <v>7.0000000000000007E-2</v>
      </c>
      <c r="H97" s="202">
        <v>0.45</v>
      </c>
      <c r="I97" s="203"/>
      <c r="J97" s="171"/>
      <c r="K97" s="204">
        <f t="shared" si="56"/>
        <v>857.14285714285711</v>
      </c>
      <c r="L97" s="204">
        <f t="shared" si="57"/>
        <v>685.71428571428578</v>
      </c>
      <c r="M97" s="204">
        <f t="shared" si="58"/>
        <v>428.57142857142856</v>
      </c>
      <c r="N97" s="111">
        <f t="shared" si="46"/>
        <v>0.11150491816335469</v>
      </c>
      <c r="O97" s="90"/>
      <c r="P97" s="90"/>
      <c r="Q97" s="90"/>
      <c r="R97" s="90"/>
    </row>
    <row r="98" spans="1:18" s="89" customFormat="1" ht="16.2" customHeight="1">
      <c r="A98" s="100"/>
      <c r="B98" s="153"/>
      <c r="C98" s="169" t="s">
        <v>192</v>
      </c>
      <c r="D98" s="169"/>
      <c r="E98" s="172"/>
      <c r="F98" s="169"/>
      <c r="G98" s="177"/>
      <c r="H98" s="202"/>
      <c r="I98" s="203"/>
      <c r="J98" s="171"/>
      <c r="K98" s="204"/>
      <c r="L98" s="204"/>
      <c r="M98" s="204"/>
      <c r="N98" s="111">
        <f t="shared" si="46"/>
        <v>0</v>
      </c>
      <c r="O98" s="90"/>
      <c r="P98" s="90"/>
      <c r="Q98" s="90"/>
      <c r="R98" s="90"/>
    </row>
    <row r="99" spans="1:18" s="89" customFormat="1" ht="16.2" customHeight="1">
      <c r="A99" s="100"/>
      <c r="B99" s="153"/>
      <c r="C99" s="169"/>
      <c r="D99" s="169"/>
      <c r="E99" s="172"/>
      <c r="F99" s="169"/>
      <c r="G99" s="172"/>
      <c r="H99" s="202"/>
      <c r="I99" s="203"/>
      <c r="J99" s="171"/>
      <c r="K99" s="204"/>
      <c r="L99" s="204"/>
      <c r="M99" s="204"/>
      <c r="N99" s="111"/>
      <c r="O99" s="90"/>
      <c r="P99" s="90"/>
      <c r="Q99" s="90"/>
      <c r="R99" s="90"/>
    </row>
    <row r="100" spans="1:18" s="89" customFormat="1" ht="16.2" customHeight="1">
      <c r="A100" s="100"/>
      <c r="B100" s="153"/>
      <c r="C100" s="221" t="s">
        <v>128</v>
      </c>
      <c r="D100" s="214"/>
      <c r="E100" s="215"/>
      <c r="F100" s="216"/>
      <c r="G100" s="222">
        <f>SUM(G15:G99)</f>
        <v>25.111000000000008</v>
      </c>
      <c r="H100" s="217"/>
      <c r="I100" s="203"/>
      <c r="J100" s="171"/>
      <c r="K100" s="204"/>
      <c r="L100" s="223"/>
      <c r="M100" s="204"/>
      <c r="N100" s="111"/>
      <c r="O100" s="90"/>
      <c r="P100" s="90"/>
      <c r="Q100" s="90"/>
      <c r="R100" s="90"/>
    </row>
    <row r="101" spans="1:18" s="89" customFormat="1" ht="16.2" customHeight="1">
      <c r="A101" s="100"/>
      <c r="B101" s="106"/>
      <c r="C101" s="221" t="s">
        <v>149</v>
      </c>
      <c r="D101" s="107"/>
      <c r="E101" s="107"/>
      <c r="F101" s="103"/>
      <c r="G101" s="107"/>
      <c r="H101" s="112"/>
      <c r="I101" s="113"/>
      <c r="J101" s="103"/>
      <c r="K101" s="110"/>
      <c r="L101" s="110"/>
      <c r="M101" s="110"/>
      <c r="N101" s="111"/>
      <c r="O101" s="90"/>
      <c r="P101" s="90"/>
      <c r="Q101" s="90"/>
      <c r="R101" s="90"/>
    </row>
    <row r="102" spans="1:18" s="89" customFormat="1" ht="16.2" customHeight="1">
      <c r="A102" s="100"/>
      <c r="B102" s="153"/>
      <c r="C102" s="176"/>
      <c r="D102" s="107"/>
      <c r="E102" s="107"/>
      <c r="F102" s="103"/>
      <c r="G102" s="108"/>
      <c r="H102" s="112"/>
      <c r="I102" s="113"/>
      <c r="J102" s="103"/>
      <c r="K102" s="110"/>
      <c r="L102" s="110"/>
      <c r="M102" s="110"/>
      <c r="N102" s="111"/>
      <c r="O102" s="90"/>
      <c r="P102" s="90"/>
      <c r="Q102" s="90"/>
      <c r="R102" s="90"/>
    </row>
    <row r="103" spans="1:18" s="89" customFormat="1" ht="16.2" customHeight="1">
      <c r="A103" s="115"/>
      <c r="B103" s="153" t="s">
        <v>164</v>
      </c>
      <c r="C103" s="169" t="s">
        <v>218</v>
      </c>
      <c r="D103" s="169"/>
      <c r="E103" s="172" t="s">
        <v>219</v>
      </c>
      <c r="F103" s="169"/>
      <c r="G103" s="177">
        <v>0.32</v>
      </c>
      <c r="H103" s="211"/>
      <c r="I103" s="203"/>
      <c r="J103" s="171"/>
      <c r="K103" s="204">
        <f t="shared" ref="K103" si="59">IF((G103+I103)&gt;0,60/(G103+I103),0)</f>
        <v>187.5</v>
      </c>
      <c r="L103" s="204">
        <f t="shared" ref="L103" si="60">IF((G103+I103)&gt;0,60/(G103+I103),0)*$L$12</f>
        <v>150</v>
      </c>
      <c r="M103" s="204">
        <f t="shared" ref="M103" si="61">IF((G103+I103)&gt;0,60/(G103+I103),0)*$M$12</f>
        <v>93.75</v>
      </c>
      <c r="N103" s="111"/>
      <c r="O103" s="90"/>
      <c r="P103" s="90"/>
      <c r="Q103" s="90"/>
      <c r="R103" s="90"/>
    </row>
    <row r="104" spans="1:18" s="89" customFormat="1" ht="16.2" customHeight="1">
      <c r="A104" s="100"/>
      <c r="B104" s="153"/>
      <c r="C104" s="154"/>
      <c r="D104" s="107"/>
      <c r="E104" s="155"/>
      <c r="F104" s="103"/>
      <c r="G104" s="157"/>
      <c r="H104" s="112"/>
      <c r="I104" s="113"/>
      <c r="J104" s="103"/>
      <c r="K104" s="110"/>
      <c r="L104" s="110"/>
      <c r="M104" s="110"/>
      <c r="N104" s="111"/>
      <c r="O104" s="90"/>
      <c r="P104" s="90"/>
      <c r="Q104" s="90"/>
      <c r="R104" s="90"/>
    </row>
    <row r="105" spans="1:18" s="89" customFormat="1" ht="16.2" customHeight="1">
      <c r="A105" s="100"/>
      <c r="B105" s="153"/>
      <c r="C105" s="154"/>
      <c r="D105" s="107"/>
      <c r="E105" s="155"/>
      <c r="F105" s="103"/>
      <c r="G105" s="157"/>
      <c r="H105" s="112"/>
      <c r="I105" s="113"/>
      <c r="J105" s="103"/>
      <c r="K105" s="110"/>
      <c r="L105" s="110"/>
      <c r="M105" s="110"/>
      <c r="N105" s="111"/>
      <c r="O105" s="90"/>
      <c r="P105" s="90"/>
      <c r="Q105" s="90"/>
      <c r="R105" s="90"/>
    </row>
    <row r="106" spans="1:18" s="89" customFormat="1" ht="16.2" customHeight="1">
      <c r="A106" s="100"/>
      <c r="B106" s="153"/>
      <c r="C106" s="221" t="s">
        <v>150</v>
      </c>
      <c r="D106" s="214"/>
      <c r="E106" s="215"/>
      <c r="F106" s="216"/>
      <c r="G106" s="222">
        <f>SUM(G103:G105)</f>
        <v>0.32</v>
      </c>
      <c r="H106" s="217"/>
      <c r="I106" s="203"/>
      <c r="J106" s="171"/>
      <c r="K106" s="204"/>
      <c r="L106" s="223">
        <f>G106*1.05</f>
        <v>0.33600000000000002</v>
      </c>
      <c r="M106" s="204"/>
      <c r="N106" s="111"/>
      <c r="O106" s="90"/>
      <c r="P106" s="90"/>
      <c r="Q106" s="90"/>
      <c r="R106" s="90"/>
    </row>
    <row r="107" spans="1:18" s="89" customFormat="1" ht="16.2" customHeight="1">
      <c r="A107" s="100"/>
      <c r="B107" s="153"/>
      <c r="C107" s="221" t="s">
        <v>176</v>
      </c>
      <c r="D107" s="107"/>
      <c r="E107" s="155"/>
      <c r="F107" s="103"/>
      <c r="G107" s="157"/>
      <c r="H107" s="112"/>
      <c r="I107" s="113"/>
      <c r="J107" s="103"/>
      <c r="K107" s="110"/>
      <c r="L107" s="110"/>
      <c r="M107" s="110"/>
      <c r="N107" s="111"/>
      <c r="O107" s="90"/>
      <c r="P107" s="90"/>
      <c r="Q107" s="90"/>
      <c r="R107" s="90"/>
    </row>
    <row r="108" spans="1:18" s="89" customFormat="1" ht="16.2" customHeight="1">
      <c r="A108" s="100"/>
      <c r="B108" s="153"/>
      <c r="C108" s="154"/>
      <c r="D108" s="107"/>
      <c r="E108" s="155"/>
      <c r="F108" s="103"/>
      <c r="G108" s="157"/>
      <c r="H108" s="112"/>
      <c r="I108" s="113"/>
      <c r="J108" s="103"/>
      <c r="K108" s="110"/>
      <c r="L108" s="110"/>
      <c r="M108" s="110"/>
      <c r="N108" s="111"/>
      <c r="O108" s="90"/>
      <c r="P108" s="90"/>
      <c r="Q108" s="90"/>
      <c r="R108" s="90"/>
    </row>
    <row r="109" spans="1:18" s="89" customFormat="1" ht="16.2" customHeight="1">
      <c r="A109" s="100"/>
      <c r="B109" s="153" t="s">
        <v>180</v>
      </c>
      <c r="C109" s="169" t="s">
        <v>227</v>
      </c>
      <c r="D109" s="169"/>
      <c r="E109" s="172" t="s">
        <v>177</v>
      </c>
      <c r="F109" s="169"/>
      <c r="G109" s="172">
        <v>0.32</v>
      </c>
      <c r="H109" s="112"/>
      <c r="I109" s="113"/>
      <c r="J109" s="103"/>
      <c r="K109" s="204">
        <f t="shared" ref="K109" si="62">IF((G109+I109)&gt;0,60/(G109+I109),0)</f>
        <v>187.5</v>
      </c>
      <c r="L109" s="204">
        <f t="shared" ref="L109" si="63">IF((G109+I109)&gt;0,60/(G109+I109),0)*$L$12</f>
        <v>150</v>
      </c>
      <c r="M109" s="204">
        <f t="shared" ref="M109" si="64">IF((G109+I109)&gt;0,60/(G109+I109),0)*$M$12</f>
        <v>93.75</v>
      </c>
      <c r="N109" s="111"/>
      <c r="O109" s="90"/>
      <c r="P109" s="90"/>
      <c r="Q109" s="90"/>
      <c r="R109" s="90"/>
    </row>
    <row r="110" spans="1:18" s="89" customFormat="1" ht="16.2" customHeight="1">
      <c r="A110" s="100"/>
      <c r="B110" s="153" t="s">
        <v>181</v>
      </c>
      <c r="C110" s="169" t="s">
        <v>228</v>
      </c>
      <c r="D110" s="169"/>
      <c r="E110" s="172" t="s">
        <v>178</v>
      </c>
      <c r="F110" s="169"/>
      <c r="G110" s="172">
        <v>0.35</v>
      </c>
      <c r="H110" s="112"/>
      <c r="I110" s="113"/>
      <c r="J110" s="103"/>
      <c r="K110" s="204">
        <f t="shared" ref="K110" si="65">IF((G110+I110)&gt;0,60/(G110+I110),0)</f>
        <v>171.42857142857144</v>
      </c>
      <c r="L110" s="204">
        <f t="shared" ref="L110" si="66">IF((G110+I110)&gt;0,60/(G110+I110),0)*$L$12</f>
        <v>137.14285714285717</v>
      </c>
      <c r="M110" s="204">
        <f t="shared" ref="M110" si="67">IF((G110+I110)&gt;0,60/(G110+I110),0)*$M$12</f>
        <v>85.714285714285722</v>
      </c>
      <c r="N110" s="111"/>
      <c r="O110" s="90"/>
      <c r="P110" s="90"/>
      <c r="Q110" s="90"/>
      <c r="R110" s="90"/>
    </row>
    <row r="111" spans="1:18" s="89" customFormat="1" ht="16.2" customHeight="1">
      <c r="A111" s="100"/>
      <c r="B111" s="153"/>
      <c r="C111" s="176"/>
      <c r="D111" s="107"/>
      <c r="E111" s="155"/>
      <c r="F111" s="103"/>
      <c r="G111" s="157"/>
      <c r="H111" s="112"/>
      <c r="I111" s="113"/>
      <c r="J111" s="103"/>
      <c r="K111" s="110"/>
      <c r="L111" s="110"/>
      <c r="M111" s="110"/>
      <c r="N111" s="111"/>
      <c r="O111" s="90"/>
      <c r="P111" s="90"/>
      <c r="Q111" s="90"/>
      <c r="R111" s="90"/>
    </row>
    <row r="112" spans="1:18" s="89" customFormat="1" ht="16.2" customHeight="1">
      <c r="A112" s="100"/>
      <c r="B112" s="153"/>
      <c r="C112" s="221" t="s">
        <v>179</v>
      </c>
      <c r="D112" s="214"/>
      <c r="E112" s="215"/>
      <c r="F112" s="216"/>
      <c r="G112" s="222">
        <f>SUM(G109:G111)</f>
        <v>0.66999999999999993</v>
      </c>
      <c r="H112" s="217"/>
      <c r="I112" s="203"/>
      <c r="J112" s="171"/>
      <c r="K112" s="204"/>
      <c r="L112" s="223">
        <f>G112*1.05</f>
        <v>0.7034999999999999</v>
      </c>
      <c r="M112" s="204"/>
      <c r="N112" s="111"/>
      <c r="O112" s="90"/>
      <c r="P112" s="90"/>
      <c r="Q112" s="90"/>
      <c r="R112" s="90"/>
    </row>
    <row r="113" spans="1:18" s="89" customFormat="1" ht="16.2" customHeight="1">
      <c r="A113" s="100"/>
      <c r="B113" s="153"/>
      <c r="C113" s="221" t="s">
        <v>182</v>
      </c>
      <c r="D113" s="107"/>
      <c r="E113" s="155"/>
      <c r="F113" s="103"/>
      <c r="G113" s="157"/>
      <c r="H113" s="112"/>
      <c r="I113" s="113"/>
      <c r="J113" s="103"/>
      <c r="K113" s="110"/>
      <c r="L113" s="110"/>
      <c r="M113" s="110"/>
      <c r="N113" s="111"/>
      <c r="O113" s="90"/>
      <c r="P113" s="90"/>
      <c r="Q113" s="90"/>
      <c r="R113" s="90"/>
    </row>
    <row r="114" spans="1:18" s="89" customFormat="1" ht="16.2" customHeight="1">
      <c r="A114" s="100"/>
      <c r="B114" s="153"/>
      <c r="C114" s="176"/>
      <c r="D114" s="107"/>
      <c r="E114" s="155"/>
      <c r="F114" s="103"/>
      <c r="G114" s="157"/>
      <c r="H114" s="112"/>
      <c r="I114" s="113"/>
      <c r="J114" s="103"/>
      <c r="K114" s="110"/>
      <c r="L114" s="110"/>
      <c r="M114" s="110"/>
      <c r="N114" s="111"/>
      <c r="O114" s="90"/>
      <c r="P114" s="90"/>
      <c r="Q114" s="90"/>
      <c r="R114" s="90"/>
    </row>
    <row r="115" spans="1:18" s="89" customFormat="1" ht="16.2" customHeight="1">
      <c r="A115" s="100"/>
      <c r="B115" s="153" t="s">
        <v>93</v>
      </c>
      <c r="C115" s="169" t="s">
        <v>184</v>
      </c>
      <c r="D115" s="169"/>
      <c r="E115" s="172" t="s">
        <v>186</v>
      </c>
      <c r="F115" s="169"/>
      <c r="G115" s="172">
        <v>0.2</v>
      </c>
      <c r="H115" s="112"/>
      <c r="I115" s="113"/>
      <c r="J115" s="103"/>
      <c r="K115" s="204">
        <f t="shared" ref="K115:K116" si="68">IF((G115+I115)&gt;0,60/(G115+I115),0)</f>
        <v>300</v>
      </c>
      <c r="L115" s="204">
        <f t="shared" ref="L115:L116" si="69">IF((G115+I115)&gt;0,60/(G115+I115),0)*$L$12</f>
        <v>240</v>
      </c>
      <c r="M115" s="204">
        <f t="shared" ref="M115:M116" si="70">IF((G115+I115)&gt;0,60/(G115+I115),0)*$M$12</f>
        <v>150</v>
      </c>
      <c r="N115" s="111"/>
      <c r="O115" s="90"/>
      <c r="P115" s="90"/>
      <c r="Q115" s="90"/>
      <c r="R115" s="90"/>
    </row>
    <row r="116" spans="1:18" s="89" customFormat="1" ht="16.2" customHeight="1">
      <c r="A116" s="100"/>
      <c r="B116" s="153" t="s">
        <v>94</v>
      </c>
      <c r="C116" s="169" t="s">
        <v>185</v>
      </c>
      <c r="D116" s="169"/>
      <c r="E116" s="172" t="s">
        <v>177</v>
      </c>
      <c r="F116" s="169"/>
      <c r="G116" s="172">
        <v>0.24</v>
      </c>
      <c r="H116" s="112"/>
      <c r="I116" s="113"/>
      <c r="J116" s="103"/>
      <c r="K116" s="204">
        <f t="shared" si="68"/>
        <v>250</v>
      </c>
      <c r="L116" s="204">
        <f t="shared" si="69"/>
        <v>200</v>
      </c>
      <c r="M116" s="204">
        <f t="shared" si="70"/>
        <v>125</v>
      </c>
      <c r="N116" s="111"/>
      <c r="O116" s="90"/>
      <c r="P116" s="90"/>
      <c r="Q116" s="90"/>
      <c r="R116" s="90"/>
    </row>
    <row r="117" spans="1:18" s="89" customFormat="1" ht="16.2" customHeight="1">
      <c r="A117" s="100"/>
      <c r="B117" s="153" t="s">
        <v>95</v>
      </c>
      <c r="C117" s="169" t="s">
        <v>187</v>
      </c>
      <c r="D117" s="169"/>
      <c r="E117" s="172" t="s">
        <v>186</v>
      </c>
      <c r="F117" s="169"/>
      <c r="G117" s="172">
        <v>0.55000000000000004</v>
      </c>
      <c r="H117" s="112"/>
      <c r="I117" s="113"/>
      <c r="J117" s="103"/>
      <c r="K117" s="204">
        <f t="shared" ref="K117:K125" si="71">IF((G117+I117)&gt;0,60/(G117+I117),0)</f>
        <v>109.09090909090908</v>
      </c>
      <c r="L117" s="204">
        <f t="shared" ref="L117:L125" si="72">IF((G117+I117)&gt;0,60/(G117+I117),0)*$L$12</f>
        <v>87.272727272727266</v>
      </c>
      <c r="M117" s="204">
        <f t="shared" ref="M117:M125" si="73">IF((G117+I117)&gt;0,60/(G117+I117),0)*$M$12</f>
        <v>54.54545454545454</v>
      </c>
      <c r="N117" s="111"/>
      <c r="O117" s="90"/>
      <c r="P117" s="90"/>
      <c r="Q117" s="90"/>
      <c r="R117" s="90"/>
    </row>
    <row r="118" spans="1:18" s="89" customFormat="1" ht="16.2" customHeight="1">
      <c r="A118" s="100"/>
      <c r="B118" s="153" t="s">
        <v>96</v>
      </c>
      <c r="C118" s="169" t="s">
        <v>229</v>
      </c>
      <c r="D118" s="169"/>
      <c r="E118" s="172" t="s">
        <v>177</v>
      </c>
      <c r="F118" s="169"/>
      <c r="G118" s="172">
        <v>0.34</v>
      </c>
      <c r="H118" s="112"/>
      <c r="I118" s="113"/>
      <c r="J118" s="103"/>
      <c r="K118" s="204"/>
      <c r="L118" s="204"/>
      <c r="M118" s="204"/>
      <c r="N118" s="111"/>
      <c r="O118" s="90"/>
      <c r="P118" s="90"/>
      <c r="Q118" s="90"/>
      <c r="R118" s="90"/>
    </row>
    <row r="119" spans="1:18" s="89" customFormat="1" ht="16.2" customHeight="1">
      <c r="A119" s="100"/>
      <c r="B119" s="153" t="s">
        <v>97</v>
      </c>
      <c r="C119" s="169" t="s">
        <v>193</v>
      </c>
      <c r="D119" s="169"/>
      <c r="E119" s="172" t="s">
        <v>177</v>
      </c>
      <c r="F119" s="169"/>
      <c r="G119" s="172">
        <v>0.4</v>
      </c>
      <c r="H119" s="112"/>
      <c r="I119" s="113"/>
      <c r="J119" s="103"/>
      <c r="K119" s="204"/>
      <c r="L119" s="204"/>
      <c r="M119" s="204"/>
      <c r="N119" s="111"/>
      <c r="O119" s="90"/>
      <c r="P119" s="90"/>
      <c r="Q119" s="90"/>
      <c r="R119" s="90"/>
    </row>
    <row r="120" spans="1:18" s="89" customFormat="1" ht="16.2" customHeight="1">
      <c r="A120" s="100"/>
      <c r="B120" s="153" t="s">
        <v>190</v>
      </c>
      <c r="C120" s="169" t="s">
        <v>188</v>
      </c>
      <c r="D120" s="169"/>
      <c r="E120" s="172" t="s">
        <v>177</v>
      </c>
      <c r="F120" s="169"/>
      <c r="G120" s="172">
        <v>0.2</v>
      </c>
      <c r="H120" s="112"/>
      <c r="I120" s="113"/>
      <c r="J120" s="103"/>
      <c r="K120" s="204">
        <f t="shared" si="71"/>
        <v>300</v>
      </c>
      <c r="L120" s="204">
        <f t="shared" si="72"/>
        <v>240</v>
      </c>
      <c r="M120" s="204">
        <f t="shared" si="73"/>
        <v>150</v>
      </c>
      <c r="N120" s="111"/>
      <c r="O120" s="90"/>
      <c r="P120" s="90"/>
      <c r="Q120" s="90"/>
      <c r="R120" s="90"/>
    </row>
    <row r="121" spans="1:18" s="89" customFormat="1" ht="16.2" customHeight="1">
      <c r="A121" s="100"/>
      <c r="B121" s="153" t="s">
        <v>191</v>
      </c>
      <c r="C121" s="169" t="s">
        <v>189</v>
      </c>
      <c r="D121" s="169"/>
      <c r="E121" s="172" t="s">
        <v>186</v>
      </c>
      <c r="F121" s="169"/>
      <c r="G121" s="172">
        <v>0.22</v>
      </c>
      <c r="H121" s="112"/>
      <c r="I121" s="113"/>
      <c r="J121" s="103"/>
      <c r="K121" s="204">
        <f t="shared" si="71"/>
        <v>272.72727272727275</v>
      </c>
      <c r="L121" s="204">
        <f t="shared" si="72"/>
        <v>218.18181818181822</v>
      </c>
      <c r="M121" s="204">
        <f t="shared" si="73"/>
        <v>136.36363636363637</v>
      </c>
      <c r="N121" s="111"/>
      <c r="O121" s="90"/>
      <c r="P121" s="90"/>
      <c r="Q121" s="90"/>
      <c r="R121" s="90"/>
    </row>
    <row r="122" spans="1:18" s="89" customFormat="1" ht="16.2" customHeight="1">
      <c r="A122" s="100"/>
      <c r="B122" s="153" t="s">
        <v>98</v>
      </c>
      <c r="C122" s="169" t="s">
        <v>230</v>
      </c>
      <c r="D122" s="169"/>
      <c r="E122" s="172" t="s">
        <v>177</v>
      </c>
      <c r="F122" s="169"/>
      <c r="G122" s="172">
        <v>0.64</v>
      </c>
      <c r="H122" s="112"/>
      <c r="I122" s="113"/>
      <c r="J122" s="103"/>
      <c r="K122" s="204">
        <f t="shared" si="71"/>
        <v>93.75</v>
      </c>
      <c r="L122" s="204">
        <f t="shared" si="72"/>
        <v>75</v>
      </c>
      <c r="M122" s="204">
        <f t="shared" si="73"/>
        <v>46.875</v>
      </c>
      <c r="N122" s="111"/>
      <c r="O122" s="90"/>
      <c r="P122" s="90"/>
      <c r="Q122" s="90"/>
      <c r="R122" s="90"/>
    </row>
    <row r="123" spans="1:18" s="89" customFormat="1" ht="16.2" customHeight="1">
      <c r="A123" s="100"/>
      <c r="B123" s="153" t="s">
        <v>99</v>
      </c>
      <c r="C123" s="169" t="s">
        <v>231</v>
      </c>
      <c r="D123" s="169"/>
      <c r="E123" s="172" t="s">
        <v>186</v>
      </c>
      <c r="F123" s="169"/>
      <c r="G123" s="172">
        <v>0.52</v>
      </c>
      <c r="H123" s="112"/>
      <c r="I123" s="113"/>
      <c r="J123" s="103"/>
      <c r="K123" s="204">
        <f t="shared" si="71"/>
        <v>115.38461538461539</v>
      </c>
      <c r="L123" s="204">
        <f t="shared" si="72"/>
        <v>92.307692307692321</v>
      </c>
      <c r="M123" s="204">
        <f t="shared" si="73"/>
        <v>57.692307692307693</v>
      </c>
      <c r="N123" s="111"/>
      <c r="O123" s="90"/>
      <c r="P123" s="90"/>
      <c r="Q123" s="90"/>
      <c r="R123" s="90"/>
    </row>
    <row r="124" spans="1:18" s="89" customFormat="1" ht="16.2" customHeight="1">
      <c r="A124" s="100"/>
      <c r="B124" s="153" t="s">
        <v>100</v>
      </c>
      <c r="C124" s="169" t="s">
        <v>194</v>
      </c>
      <c r="D124" s="224"/>
      <c r="E124" s="172" t="s">
        <v>186</v>
      </c>
      <c r="F124" s="169"/>
      <c r="G124" s="172">
        <v>0.8</v>
      </c>
      <c r="H124" s="112"/>
      <c r="I124" s="113"/>
      <c r="J124" s="103"/>
      <c r="K124" s="204">
        <f t="shared" si="71"/>
        <v>75</v>
      </c>
      <c r="L124" s="204">
        <f t="shared" si="72"/>
        <v>60</v>
      </c>
      <c r="M124" s="204">
        <f t="shared" si="73"/>
        <v>37.5</v>
      </c>
      <c r="N124" s="111"/>
      <c r="O124" s="90"/>
      <c r="P124" s="90"/>
      <c r="Q124" s="90"/>
      <c r="R124" s="90"/>
    </row>
    <row r="125" spans="1:18" s="89" customFormat="1" ht="16.2" customHeight="1">
      <c r="A125" s="100"/>
      <c r="B125" s="153"/>
      <c r="C125" s="169" t="s">
        <v>192</v>
      </c>
      <c r="D125" s="107"/>
      <c r="E125" s="155"/>
      <c r="F125" s="103"/>
      <c r="G125" s="157"/>
      <c r="H125" s="112"/>
      <c r="I125" s="113"/>
      <c r="J125" s="103"/>
      <c r="K125" s="110"/>
      <c r="L125" s="110"/>
      <c r="M125" s="110"/>
      <c r="N125" s="111"/>
      <c r="O125" s="90"/>
      <c r="P125" s="90"/>
      <c r="Q125" s="90"/>
      <c r="R125" s="90"/>
    </row>
    <row r="126" spans="1:18" s="89" customFormat="1" ht="16.2" customHeight="1">
      <c r="A126" s="100"/>
      <c r="B126" s="153"/>
      <c r="C126" s="169"/>
      <c r="D126" s="107"/>
      <c r="E126" s="155"/>
      <c r="F126" s="103"/>
      <c r="G126" s="157"/>
      <c r="H126" s="112"/>
      <c r="I126" s="113"/>
      <c r="J126" s="103"/>
      <c r="K126" s="110"/>
      <c r="L126" s="110"/>
      <c r="M126" s="110"/>
      <c r="N126" s="111"/>
      <c r="O126" s="90"/>
      <c r="P126" s="90"/>
      <c r="Q126" s="90"/>
      <c r="R126" s="90"/>
    </row>
    <row r="127" spans="1:18" s="89" customFormat="1" ht="16.2" customHeight="1">
      <c r="A127" s="100"/>
      <c r="B127" s="153"/>
      <c r="C127" s="221" t="s">
        <v>183</v>
      </c>
      <c r="D127" s="214"/>
      <c r="E127" s="215"/>
      <c r="F127" s="216"/>
      <c r="G127" s="222">
        <f>SUM(G115:G125)</f>
        <v>4.1100000000000003</v>
      </c>
      <c r="H127" s="217"/>
      <c r="I127" s="203"/>
      <c r="J127" s="171"/>
      <c r="K127" s="204"/>
      <c r="L127" s="223"/>
      <c r="M127" s="204"/>
      <c r="N127" s="111"/>
      <c r="O127" s="90"/>
      <c r="P127" s="90"/>
      <c r="Q127" s="90"/>
      <c r="R127" s="90"/>
    </row>
    <row r="128" spans="1:18" s="89" customFormat="1" ht="16.2" customHeight="1">
      <c r="A128" s="100"/>
      <c r="B128" s="153"/>
      <c r="C128" s="156"/>
      <c r="D128" s="107"/>
      <c r="E128" s="155"/>
      <c r="F128" s="103"/>
      <c r="G128" s="157"/>
      <c r="H128" s="112"/>
      <c r="I128" s="113"/>
      <c r="J128" s="103"/>
      <c r="K128" s="110"/>
      <c r="L128" s="110"/>
      <c r="M128" s="110"/>
      <c r="N128" s="111"/>
      <c r="O128" s="90"/>
      <c r="P128" s="90"/>
      <c r="Q128" s="90"/>
      <c r="R128" s="90"/>
    </row>
    <row r="129" spans="1:21" s="89" customFormat="1" ht="16.2" customHeight="1">
      <c r="A129" s="100"/>
      <c r="B129" s="153"/>
      <c r="C129" s="156"/>
      <c r="D129" s="107"/>
      <c r="E129" s="155"/>
      <c r="F129" s="103"/>
      <c r="G129" s="157"/>
      <c r="H129" s="112"/>
      <c r="I129" s="113"/>
      <c r="J129" s="103"/>
      <c r="K129" s="110"/>
      <c r="L129" s="110"/>
      <c r="M129" s="110"/>
      <c r="N129" s="111"/>
      <c r="O129" s="90"/>
      <c r="P129" s="90"/>
      <c r="Q129" s="90"/>
      <c r="R129" s="90"/>
    </row>
    <row r="130" spans="1:21" s="89" customFormat="1" ht="16.2" customHeight="1">
      <c r="A130" s="100"/>
      <c r="B130" s="153"/>
      <c r="C130" s="156"/>
      <c r="D130" s="107"/>
      <c r="E130" s="155"/>
      <c r="F130" s="103"/>
      <c r="G130" s="157"/>
      <c r="H130" s="112"/>
      <c r="I130" s="113"/>
      <c r="J130" s="103"/>
      <c r="K130" s="110"/>
      <c r="L130" s="110"/>
      <c r="M130" s="110"/>
      <c r="N130" s="111"/>
      <c r="O130" s="90"/>
      <c r="P130" s="90"/>
      <c r="Q130" s="90"/>
      <c r="R130" s="90"/>
    </row>
    <row r="131" spans="1:21" s="89" customFormat="1" ht="16.2" customHeight="1" thickBot="1">
      <c r="A131" s="100"/>
      <c r="B131" s="153"/>
      <c r="C131" s="176"/>
      <c r="D131" s="107"/>
      <c r="E131" s="155"/>
      <c r="F131" s="103"/>
      <c r="G131" s="157"/>
      <c r="H131" s="112"/>
      <c r="I131" s="113"/>
      <c r="J131" s="103"/>
      <c r="K131" s="110"/>
      <c r="L131" s="110"/>
      <c r="M131" s="110"/>
      <c r="N131" s="111"/>
      <c r="O131" s="90"/>
      <c r="P131" s="90"/>
      <c r="Q131" s="90"/>
      <c r="R131" s="90"/>
    </row>
    <row r="132" spans="1:21" s="89" customFormat="1" ht="11.25" customHeight="1">
      <c r="B132" s="116"/>
      <c r="C132" s="117"/>
      <c r="D132" s="117"/>
      <c r="E132" s="118"/>
      <c r="F132" s="118"/>
      <c r="G132" s="119"/>
      <c r="H132" s="119"/>
      <c r="I132" s="119"/>
      <c r="J132" s="119"/>
      <c r="K132" s="120"/>
      <c r="L132" s="120"/>
      <c r="M132" s="120"/>
      <c r="N132" s="121"/>
      <c r="O132" s="90"/>
      <c r="P132" s="90"/>
      <c r="Q132" s="90"/>
      <c r="S132" s="90"/>
      <c r="T132" s="90"/>
    </row>
    <row r="133" spans="1:21" s="89" customFormat="1" ht="17.25" customHeight="1">
      <c r="B133" s="122"/>
      <c r="C133" s="123" t="s">
        <v>27</v>
      </c>
      <c r="D133" s="123"/>
      <c r="E133" s="111">
        <f>G100</f>
        <v>25.111000000000008</v>
      </c>
      <c r="F133" s="94"/>
      <c r="G133" s="124"/>
      <c r="H133" s="124"/>
      <c r="I133" s="245" t="s">
        <v>21</v>
      </c>
      <c r="J133" s="246"/>
      <c r="K133" s="247"/>
      <c r="L133" s="232">
        <f>G100</f>
        <v>25.111000000000008</v>
      </c>
      <c r="M133" s="233"/>
      <c r="N133" s="125"/>
      <c r="O133" s="90"/>
      <c r="P133" s="90"/>
      <c r="Q133" s="90"/>
      <c r="S133" s="90"/>
      <c r="T133" s="90"/>
    </row>
    <row r="134" spans="1:21" s="89" customFormat="1" ht="17.25" customHeight="1">
      <c r="B134" s="122"/>
      <c r="C134" s="123" t="s">
        <v>25</v>
      </c>
      <c r="D134" s="123"/>
      <c r="E134" s="111">
        <f>L106</f>
        <v>0.33600000000000002</v>
      </c>
      <c r="F134" s="94"/>
      <c r="G134" s="124"/>
      <c r="H134" s="124"/>
      <c r="I134" s="226" t="s">
        <v>28</v>
      </c>
      <c r="J134" s="227"/>
      <c r="K134" s="228"/>
      <c r="L134" s="110">
        <v>33</v>
      </c>
      <c r="M134" s="110">
        <v>7</v>
      </c>
      <c r="N134" s="125"/>
      <c r="O134" s="90"/>
      <c r="P134" s="90"/>
      <c r="Q134" s="90"/>
      <c r="S134" s="90"/>
      <c r="T134" s="90"/>
    </row>
    <row r="135" spans="1:21" s="89" customFormat="1" ht="17.25" customHeight="1">
      <c r="B135" s="122"/>
      <c r="C135" s="123" t="s">
        <v>29</v>
      </c>
      <c r="D135" s="123"/>
      <c r="E135" s="111">
        <v>2.7</v>
      </c>
      <c r="F135" s="94"/>
      <c r="G135" s="124"/>
      <c r="H135" s="124"/>
      <c r="I135" s="231" t="s">
        <v>30</v>
      </c>
      <c r="J135" s="231"/>
      <c r="K135" s="231"/>
      <c r="L135" s="232">
        <f>+L133/(L134+M134)</f>
        <v>0.62777500000000019</v>
      </c>
      <c r="M135" s="233"/>
      <c r="N135" s="125"/>
      <c r="O135" s="90"/>
      <c r="P135" s="90"/>
      <c r="Q135" s="90"/>
      <c r="S135" s="90"/>
      <c r="T135" s="90"/>
    </row>
    <row r="136" spans="1:21" s="89" customFormat="1" ht="17.25" customHeight="1">
      <c r="B136" s="122"/>
      <c r="C136" s="123" t="s">
        <v>74</v>
      </c>
      <c r="D136" s="123"/>
      <c r="E136" s="111">
        <v>0</v>
      </c>
      <c r="F136" s="94"/>
      <c r="G136" s="124"/>
      <c r="H136" s="124"/>
      <c r="I136" s="126"/>
      <c r="J136" s="127"/>
      <c r="K136" s="128"/>
      <c r="L136" s="129"/>
      <c r="M136" s="130"/>
      <c r="N136" s="125"/>
      <c r="O136" s="90"/>
      <c r="P136" s="90"/>
      <c r="Q136" s="90"/>
      <c r="S136" s="90"/>
      <c r="T136" s="90"/>
    </row>
    <row r="137" spans="1:21" s="89" customFormat="1" ht="17.25" customHeight="1">
      <c r="B137" s="122"/>
      <c r="C137" s="123" t="s">
        <v>179</v>
      </c>
      <c r="D137" s="123"/>
      <c r="E137" s="111">
        <f>L112</f>
        <v>0.7034999999999999</v>
      </c>
      <c r="F137" s="94"/>
      <c r="G137" s="124"/>
      <c r="H137" s="124"/>
      <c r="I137" s="126"/>
      <c r="J137" s="127"/>
      <c r="K137" s="128"/>
      <c r="L137" s="129"/>
      <c r="M137" s="130"/>
      <c r="N137" s="125"/>
      <c r="O137" s="90"/>
      <c r="P137" s="90"/>
      <c r="Q137" s="90"/>
      <c r="S137" s="90"/>
      <c r="T137" s="90"/>
    </row>
    <row r="138" spans="1:21" s="89" customFormat="1" ht="17.25" customHeight="1">
      <c r="B138" s="122"/>
      <c r="C138" s="123" t="s">
        <v>26</v>
      </c>
      <c r="D138" s="123"/>
      <c r="E138" s="111"/>
      <c r="F138" s="94"/>
      <c r="G138" s="124"/>
      <c r="H138" s="124"/>
      <c r="I138" s="234" t="s">
        <v>31</v>
      </c>
      <c r="J138" s="235"/>
      <c r="K138" s="236"/>
      <c r="L138" s="131">
        <v>10</v>
      </c>
      <c r="M138" s="110" t="s">
        <v>32</v>
      </c>
      <c r="N138" s="125"/>
      <c r="O138" s="90"/>
      <c r="P138" s="90"/>
      <c r="Q138" s="90"/>
      <c r="S138" s="90"/>
      <c r="T138" s="90"/>
    </row>
    <row r="139" spans="1:21" s="89" customFormat="1" ht="17.25" customHeight="1">
      <c r="B139" s="122"/>
      <c r="C139" s="123" t="s">
        <v>33</v>
      </c>
      <c r="D139" s="123"/>
      <c r="E139" s="111">
        <v>3.9</v>
      </c>
      <c r="F139" s="94"/>
      <c r="G139" s="124"/>
      <c r="H139" s="124"/>
      <c r="I139" s="237" t="s">
        <v>34</v>
      </c>
      <c r="J139" s="238"/>
      <c r="K139" s="239"/>
      <c r="L139" s="110">
        <f>+((L134+M134)*600)/L133</f>
        <v>955.75644140018289</v>
      </c>
      <c r="M139" s="110">
        <f>+L139/L138</f>
        <v>95.575644140018284</v>
      </c>
      <c r="N139" s="125"/>
      <c r="O139" s="90"/>
      <c r="P139" s="90"/>
      <c r="Q139" s="90"/>
      <c r="S139" s="90"/>
      <c r="T139" s="90"/>
    </row>
    <row r="140" spans="1:21" s="89" customFormat="1" ht="17.25" customHeight="1">
      <c r="B140" s="122"/>
      <c r="C140" s="123" t="s">
        <v>35</v>
      </c>
      <c r="D140" s="123"/>
      <c r="E140" s="111">
        <f>G127</f>
        <v>4.1100000000000003</v>
      </c>
      <c r="F140" s="94"/>
      <c r="G140" s="132"/>
      <c r="H140" s="132"/>
      <c r="I140" s="229" t="s">
        <v>36</v>
      </c>
      <c r="J140" s="229"/>
      <c r="K140" s="229"/>
      <c r="L140" s="110">
        <f>+L139*0.65</f>
        <v>621.24168691011891</v>
      </c>
      <c r="M140" s="110">
        <f>+L140/L138</f>
        <v>62.124168691011889</v>
      </c>
      <c r="N140" s="133"/>
      <c r="O140" s="90"/>
      <c r="P140" s="90"/>
      <c r="Q140" s="90"/>
      <c r="S140" s="90"/>
      <c r="T140" s="90"/>
    </row>
    <row r="141" spans="1:21" s="89" customFormat="1" ht="17.25" customHeight="1">
      <c r="B141" s="122"/>
      <c r="C141" s="123" t="s">
        <v>21</v>
      </c>
      <c r="D141" s="123"/>
      <c r="E141" s="111">
        <f>SUM(E133:E140)</f>
        <v>36.860500000000002</v>
      </c>
      <c r="F141" s="94"/>
      <c r="G141" s="132"/>
      <c r="H141" s="134"/>
      <c r="I141" s="229" t="s">
        <v>37</v>
      </c>
      <c r="J141" s="229"/>
      <c r="K141" s="229"/>
      <c r="L141" s="110">
        <f>+L139*0.5</f>
        <v>477.87822070009145</v>
      </c>
      <c r="M141" s="110">
        <f>+L141/L138</f>
        <v>47.787822070009142</v>
      </c>
      <c r="N141" s="133"/>
      <c r="O141" s="90"/>
      <c r="P141" s="90"/>
      <c r="Q141" s="90"/>
      <c r="S141" s="90"/>
      <c r="T141" s="90"/>
    </row>
    <row r="142" spans="1:21" s="89" customFormat="1" ht="18" customHeight="1" thickBot="1">
      <c r="B142" s="135"/>
      <c r="C142" s="136"/>
      <c r="D142" s="136"/>
      <c r="E142" s="137"/>
      <c r="F142" s="137"/>
      <c r="G142" s="175"/>
      <c r="H142" s="136"/>
      <c r="I142" s="136"/>
      <c r="J142" s="136"/>
      <c r="K142" s="136"/>
      <c r="L142" s="230"/>
      <c r="M142" s="230"/>
      <c r="N142" s="138"/>
      <c r="O142" s="90"/>
      <c r="P142" s="90"/>
      <c r="Q142" s="90"/>
      <c r="S142" s="90"/>
      <c r="T142" s="90"/>
    </row>
    <row r="144" spans="1:21" s="89" customFormat="1">
      <c r="E144" s="173"/>
      <c r="G144" s="173"/>
      <c r="L144" s="90"/>
      <c r="M144" s="90"/>
      <c r="N144" s="90"/>
      <c r="O144" s="90"/>
      <c r="P144" s="90"/>
      <c r="Q144" s="90"/>
      <c r="R144" s="90"/>
      <c r="S144" s="90"/>
      <c r="T144" s="90"/>
      <c r="U144" s="90"/>
    </row>
    <row r="145" spans="2:1029">
      <c r="B145" s="89"/>
      <c r="C145" s="89"/>
      <c r="D145" s="89"/>
      <c r="E145" s="173"/>
      <c r="F145" s="89"/>
      <c r="G145" s="173"/>
      <c r="H145" s="89"/>
      <c r="I145" s="89"/>
      <c r="J145" s="89"/>
      <c r="K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  <c r="EP145" s="89"/>
      <c r="EQ145" s="89"/>
      <c r="ER145" s="89"/>
      <c r="ES145" s="89"/>
      <c r="ET145" s="89"/>
      <c r="EU145" s="89"/>
      <c r="EV145" s="89"/>
      <c r="EW145" s="89"/>
      <c r="EX145" s="89"/>
      <c r="EY145" s="89"/>
      <c r="EZ145" s="89"/>
      <c r="FA145" s="89"/>
      <c r="FB145" s="89"/>
      <c r="FC145" s="89"/>
      <c r="FD145" s="89"/>
      <c r="FE145" s="89"/>
      <c r="FF145" s="89"/>
      <c r="FG145" s="89"/>
      <c r="FH145" s="89"/>
      <c r="FI145" s="89"/>
      <c r="FJ145" s="89"/>
      <c r="FK145" s="89"/>
      <c r="FL145" s="89"/>
      <c r="FM145" s="89"/>
      <c r="FN145" s="89"/>
      <c r="FO145" s="89"/>
      <c r="FP145" s="89"/>
      <c r="FQ145" s="89"/>
      <c r="FR145" s="89"/>
      <c r="FS145" s="89"/>
      <c r="FT145" s="89"/>
      <c r="FU145" s="89"/>
      <c r="FV145" s="89"/>
      <c r="FW145" s="89"/>
      <c r="FX145" s="89"/>
      <c r="FY145" s="89"/>
      <c r="FZ145" s="89"/>
      <c r="GA145" s="89"/>
      <c r="GB145" s="89"/>
      <c r="GC145" s="89"/>
      <c r="GD145" s="89"/>
      <c r="GE145" s="89"/>
      <c r="GF145" s="89"/>
      <c r="GG145" s="89"/>
      <c r="GH145" s="89"/>
      <c r="GI145" s="89"/>
      <c r="GJ145" s="89"/>
      <c r="GK145" s="89"/>
      <c r="GL145" s="89"/>
      <c r="GM145" s="89"/>
      <c r="GN145" s="89"/>
      <c r="GO145" s="89"/>
      <c r="GP145" s="89"/>
      <c r="GQ145" s="89"/>
      <c r="GR145" s="89"/>
      <c r="GS145" s="89"/>
      <c r="GT145" s="89"/>
      <c r="GU145" s="89"/>
      <c r="GV145" s="89"/>
      <c r="GW145" s="89"/>
      <c r="GX145" s="89"/>
      <c r="GY145" s="89"/>
      <c r="GZ145" s="89"/>
      <c r="HA145" s="89"/>
      <c r="HB145" s="89"/>
      <c r="HC145" s="89"/>
      <c r="HD145" s="89"/>
      <c r="HE145" s="89"/>
      <c r="HF145" s="89"/>
      <c r="HG145" s="89"/>
      <c r="HH145" s="89"/>
      <c r="HI145" s="89"/>
      <c r="HJ145" s="89"/>
      <c r="HK145" s="89"/>
      <c r="HL145" s="89"/>
      <c r="HM145" s="89"/>
      <c r="HN145" s="89"/>
      <c r="HO145" s="89"/>
      <c r="HP145" s="89"/>
      <c r="HQ145" s="89"/>
      <c r="HR145" s="89"/>
      <c r="HS145" s="89"/>
      <c r="HT145" s="89"/>
      <c r="HU145" s="89"/>
      <c r="HV145" s="89"/>
      <c r="HW145" s="89"/>
      <c r="HX145" s="89"/>
      <c r="HY145" s="89"/>
      <c r="HZ145" s="89"/>
      <c r="IA145" s="89"/>
      <c r="IB145" s="89"/>
      <c r="IC145" s="89"/>
      <c r="ID145" s="89"/>
      <c r="IE145" s="89"/>
      <c r="IF145" s="89"/>
      <c r="IG145" s="89"/>
      <c r="IH145" s="89"/>
      <c r="II145" s="89"/>
      <c r="IJ145" s="89"/>
      <c r="IK145" s="89"/>
      <c r="IL145" s="89"/>
      <c r="IM145" s="89"/>
      <c r="IN145" s="89"/>
      <c r="IO145" s="89"/>
      <c r="IP145" s="89"/>
      <c r="IQ145" s="89"/>
      <c r="IR145" s="89"/>
      <c r="IS145" s="89"/>
      <c r="IT145" s="89"/>
      <c r="IU145" s="89"/>
      <c r="IV145" s="89"/>
      <c r="IW145" s="89"/>
      <c r="IX145" s="89"/>
      <c r="IY145" s="89"/>
      <c r="IZ145" s="89"/>
      <c r="JA145" s="89"/>
      <c r="JB145" s="89"/>
      <c r="JC145" s="89"/>
      <c r="JD145" s="89"/>
      <c r="JE145" s="89"/>
      <c r="JF145" s="89"/>
      <c r="JG145" s="89"/>
      <c r="JH145" s="89"/>
      <c r="JI145" s="89"/>
      <c r="JJ145" s="89"/>
      <c r="JK145" s="89"/>
      <c r="JL145" s="89"/>
      <c r="JM145" s="89"/>
      <c r="JN145" s="89"/>
      <c r="JO145" s="89"/>
      <c r="JP145" s="89"/>
      <c r="JQ145" s="89"/>
      <c r="JR145" s="89"/>
      <c r="JS145" s="89"/>
      <c r="JT145" s="89"/>
      <c r="JU145" s="89"/>
      <c r="JV145" s="89"/>
      <c r="JW145" s="89"/>
      <c r="JX145" s="89"/>
      <c r="JY145" s="89"/>
      <c r="JZ145" s="89"/>
      <c r="KA145" s="89"/>
      <c r="KB145" s="89"/>
      <c r="KC145" s="89"/>
      <c r="KD145" s="89"/>
      <c r="KE145" s="89"/>
      <c r="KF145" s="89"/>
      <c r="KG145" s="89"/>
      <c r="KH145" s="89"/>
      <c r="KI145" s="89"/>
      <c r="KJ145" s="89"/>
      <c r="KK145" s="89"/>
      <c r="KL145" s="89"/>
      <c r="KM145" s="89"/>
      <c r="KN145" s="89"/>
      <c r="KO145" s="89"/>
      <c r="KP145" s="89"/>
      <c r="KQ145" s="89"/>
      <c r="KR145" s="89"/>
      <c r="KS145" s="89"/>
      <c r="KT145" s="89"/>
      <c r="KU145" s="89"/>
      <c r="KV145" s="89"/>
      <c r="KW145" s="89"/>
      <c r="KX145" s="89"/>
      <c r="KY145" s="89"/>
      <c r="KZ145" s="89"/>
      <c r="LA145" s="89"/>
      <c r="LB145" s="89"/>
      <c r="LC145" s="89"/>
      <c r="LD145" s="89"/>
      <c r="LE145" s="89"/>
      <c r="LF145" s="89"/>
      <c r="LG145" s="89"/>
      <c r="LH145" s="89"/>
      <c r="LI145" s="89"/>
      <c r="LJ145" s="89"/>
      <c r="LK145" s="89"/>
      <c r="LL145" s="89"/>
      <c r="LM145" s="89"/>
      <c r="LN145" s="89"/>
      <c r="LO145" s="89"/>
      <c r="LP145" s="89"/>
      <c r="LQ145" s="89"/>
      <c r="LR145" s="89"/>
      <c r="LS145" s="89"/>
      <c r="LT145" s="89"/>
      <c r="LU145" s="89"/>
      <c r="LV145" s="89"/>
      <c r="LW145" s="89"/>
      <c r="LX145" s="89"/>
      <c r="LY145" s="89"/>
      <c r="LZ145" s="89"/>
      <c r="MA145" s="89"/>
      <c r="MB145" s="89"/>
      <c r="MC145" s="89"/>
      <c r="MD145" s="89"/>
      <c r="ME145" s="89"/>
      <c r="MF145" s="89"/>
      <c r="MG145" s="89"/>
      <c r="MH145" s="89"/>
      <c r="MI145" s="89"/>
      <c r="MJ145" s="89"/>
      <c r="MK145" s="89"/>
      <c r="ML145" s="89"/>
      <c r="MM145" s="89"/>
      <c r="MN145" s="89"/>
      <c r="MO145" s="89"/>
      <c r="MP145" s="89"/>
      <c r="MQ145" s="89"/>
      <c r="MR145" s="89"/>
      <c r="MS145" s="89"/>
      <c r="MT145" s="89"/>
      <c r="MU145" s="89"/>
      <c r="MV145" s="89"/>
      <c r="MW145" s="89"/>
      <c r="MX145" s="89"/>
      <c r="MY145" s="89"/>
      <c r="MZ145" s="89"/>
      <c r="NA145" s="89"/>
      <c r="NB145" s="89"/>
      <c r="NC145" s="89"/>
      <c r="ND145" s="89"/>
      <c r="NE145" s="89"/>
      <c r="NF145" s="89"/>
      <c r="NG145" s="89"/>
      <c r="NH145" s="89"/>
      <c r="NI145" s="89"/>
      <c r="NJ145" s="89"/>
      <c r="NK145" s="89"/>
      <c r="NL145" s="89"/>
      <c r="NM145" s="89"/>
      <c r="NN145" s="89"/>
      <c r="NO145" s="89"/>
      <c r="NP145" s="89"/>
      <c r="NQ145" s="89"/>
      <c r="NR145" s="89"/>
      <c r="NS145" s="89"/>
      <c r="NT145" s="89"/>
      <c r="NU145" s="89"/>
      <c r="NV145" s="89"/>
      <c r="NW145" s="89"/>
      <c r="NX145" s="89"/>
      <c r="NY145" s="89"/>
      <c r="NZ145" s="89"/>
      <c r="OA145" s="89"/>
      <c r="OB145" s="89"/>
      <c r="OC145" s="89"/>
      <c r="OD145" s="89"/>
      <c r="OE145" s="89"/>
      <c r="OF145" s="89"/>
      <c r="OG145" s="89"/>
      <c r="OH145" s="89"/>
      <c r="OI145" s="89"/>
      <c r="OJ145" s="89"/>
      <c r="OK145" s="89"/>
      <c r="OL145" s="89"/>
      <c r="OM145" s="89"/>
      <c r="ON145" s="89"/>
      <c r="OO145" s="89"/>
      <c r="OP145" s="89"/>
      <c r="OQ145" s="89"/>
      <c r="OR145" s="89"/>
      <c r="OS145" s="89"/>
      <c r="OT145" s="89"/>
      <c r="OU145" s="89"/>
      <c r="OV145" s="89"/>
      <c r="OW145" s="89"/>
      <c r="OX145" s="89"/>
      <c r="OY145" s="89"/>
      <c r="OZ145" s="89"/>
      <c r="PA145" s="89"/>
      <c r="PB145" s="89"/>
      <c r="PC145" s="89"/>
      <c r="PD145" s="89"/>
      <c r="PE145" s="89"/>
      <c r="PF145" s="89"/>
      <c r="PG145" s="89"/>
      <c r="PH145" s="89"/>
      <c r="PI145" s="89"/>
      <c r="PJ145" s="89"/>
      <c r="PK145" s="89"/>
      <c r="PL145" s="89"/>
      <c r="PM145" s="89"/>
      <c r="PN145" s="89"/>
      <c r="PO145" s="89"/>
      <c r="PP145" s="89"/>
      <c r="PQ145" s="89"/>
      <c r="PR145" s="89"/>
      <c r="PS145" s="89"/>
      <c r="PT145" s="89"/>
      <c r="PU145" s="89"/>
      <c r="PV145" s="89"/>
      <c r="PW145" s="89"/>
      <c r="PX145" s="89"/>
      <c r="PY145" s="89"/>
      <c r="PZ145" s="89"/>
      <c r="QA145" s="89"/>
      <c r="QB145" s="89"/>
      <c r="QC145" s="89"/>
      <c r="QD145" s="89"/>
      <c r="QE145" s="89"/>
      <c r="QF145" s="89"/>
      <c r="QG145" s="89"/>
      <c r="QH145" s="89"/>
      <c r="QI145" s="89"/>
      <c r="QJ145" s="89"/>
      <c r="QK145" s="89"/>
      <c r="QL145" s="89"/>
      <c r="QM145" s="89"/>
      <c r="QN145" s="89"/>
      <c r="QO145" s="89"/>
      <c r="QP145" s="89"/>
      <c r="QQ145" s="89"/>
      <c r="QR145" s="89"/>
      <c r="QS145" s="89"/>
      <c r="QT145" s="89"/>
      <c r="QU145" s="89"/>
      <c r="QV145" s="89"/>
      <c r="QW145" s="89"/>
      <c r="QX145" s="89"/>
      <c r="QY145" s="89"/>
      <c r="QZ145" s="89"/>
      <c r="RA145" s="89"/>
      <c r="RB145" s="89"/>
      <c r="RC145" s="89"/>
      <c r="RD145" s="89"/>
      <c r="RE145" s="89"/>
      <c r="RF145" s="89"/>
      <c r="RG145" s="89"/>
      <c r="RH145" s="89"/>
      <c r="RI145" s="89"/>
      <c r="RJ145" s="89"/>
      <c r="RK145" s="89"/>
      <c r="RL145" s="89"/>
      <c r="RM145" s="89"/>
      <c r="RN145" s="89"/>
      <c r="RO145" s="89"/>
      <c r="RP145" s="89"/>
      <c r="RQ145" s="89"/>
      <c r="RR145" s="89"/>
      <c r="RS145" s="89"/>
      <c r="RT145" s="89"/>
      <c r="RU145" s="89"/>
      <c r="RV145" s="89"/>
      <c r="RW145" s="89"/>
      <c r="RX145" s="89"/>
      <c r="RY145" s="89"/>
      <c r="RZ145" s="89"/>
      <c r="SA145" s="89"/>
      <c r="SB145" s="89"/>
      <c r="SC145" s="89"/>
      <c r="SD145" s="89"/>
      <c r="SE145" s="89"/>
      <c r="SF145" s="89"/>
      <c r="SG145" s="89"/>
      <c r="SH145" s="89"/>
      <c r="SI145" s="89"/>
      <c r="SJ145" s="89"/>
      <c r="SK145" s="89"/>
      <c r="SL145" s="89"/>
      <c r="SM145" s="89"/>
      <c r="SN145" s="89"/>
      <c r="SO145" s="89"/>
      <c r="SP145" s="89"/>
      <c r="SQ145" s="89"/>
      <c r="SR145" s="89"/>
      <c r="SS145" s="89"/>
      <c r="ST145" s="89"/>
      <c r="SU145" s="89"/>
      <c r="SV145" s="89"/>
      <c r="SW145" s="89"/>
      <c r="SX145" s="89"/>
      <c r="SY145" s="89"/>
      <c r="SZ145" s="89"/>
      <c r="TA145" s="89"/>
      <c r="TB145" s="89"/>
      <c r="TC145" s="89"/>
      <c r="TD145" s="89"/>
      <c r="TE145" s="89"/>
      <c r="TF145" s="89"/>
      <c r="TG145" s="89"/>
      <c r="TH145" s="89"/>
      <c r="TI145" s="89"/>
      <c r="TJ145" s="89"/>
      <c r="TK145" s="89"/>
      <c r="TL145" s="89"/>
      <c r="TM145" s="89"/>
      <c r="TN145" s="89"/>
      <c r="TO145" s="89"/>
      <c r="TP145" s="89"/>
      <c r="TQ145" s="89"/>
      <c r="TR145" s="89"/>
      <c r="TS145" s="89"/>
      <c r="TT145" s="89"/>
      <c r="TU145" s="89"/>
      <c r="TV145" s="89"/>
      <c r="TW145" s="89"/>
      <c r="TX145" s="89"/>
      <c r="TY145" s="89"/>
      <c r="TZ145" s="89"/>
      <c r="UA145" s="89"/>
      <c r="UB145" s="89"/>
      <c r="UC145" s="89"/>
      <c r="UD145" s="89"/>
      <c r="UE145" s="89"/>
      <c r="UF145" s="89"/>
      <c r="UG145" s="89"/>
      <c r="UH145" s="89"/>
      <c r="UI145" s="89"/>
      <c r="UJ145" s="89"/>
      <c r="UK145" s="89"/>
      <c r="UL145" s="89"/>
      <c r="UM145" s="89"/>
      <c r="UN145" s="89"/>
      <c r="UO145" s="89"/>
      <c r="UP145" s="89"/>
      <c r="UQ145" s="89"/>
      <c r="UR145" s="89"/>
      <c r="US145" s="89"/>
      <c r="UT145" s="89"/>
      <c r="UU145" s="89"/>
      <c r="UV145" s="89"/>
      <c r="UW145" s="89"/>
      <c r="UX145" s="89"/>
      <c r="UY145" s="89"/>
      <c r="UZ145" s="89"/>
      <c r="VA145" s="89"/>
      <c r="VB145" s="89"/>
      <c r="VC145" s="89"/>
      <c r="VD145" s="89"/>
      <c r="VE145" s="89"/>
      <c r="VF145" s="89"/>
      <c r="VG145" s="89"/>
      <c r="VH145" s="89"/>
      <c r="VI145" s="89"/>
      <c r="VJ145" s="89"/>
      <c r="VK145" s="89"/>
      <c r="VL145" s="89"/>
      <c r="VM145" s="89"/>
      <c r="VN145" s="89"/>
      <c r="VO145" s="89"/>
      <c r="VP145" s="89"/>
      <c r="VQ145" s="89"/>
      <c r="VR145" s="89"/>
      <c r="VS145" s="89"/>
      <c r="VT145" s="89"/>
      <c r="VU145" s="89"/>
      <c r="VV145" s="89"/>
      <c r="VW145" s="89"/>
      <c r="VX145" s="89"/>
      <c r="VY145" s="89"/>
      <c r="VZ145" s="89"/>
      <c r="WA145" s="89"/>
      <c r="WB145" s="89"/>
      <c r="WC145" s="89"/>
      <c r="WD145" s="89"/>
      <c r="WE145" s="89"/>
      <c r="WF145" s="89"/>
      <c r="WG145" s="89"/>
      <c r="WH145" s="89"/>
      <c r="WI145" s="89"/>
      <c r="WJ145" s="89"/>
      <c r="WK145" s="89"/>
      <c r="WL145" s="89"/>
      <c r="WM145" s="89"/>
      <c r="WN145" s="89"/>
      <c r="WO145" s="89"/>
      <c r="WP145" s="89"/>
      <c r="WQ145" s="89"/>
      <c r="WR145" s="89"/>
      <c r="WS145" s="89"/>
      <c r="WT145" s="89"/>
      <c r="WU145" s="89"/>
      <c r="WV145" s="89"/>
      <c r="WW145" s="89"/>
      <c r="WX145" s="89"/>
      <c r="WY145" s="89"/>
      <c r="WZ145" s="89"/>
      <c r="XA145" s="89"/>
      <c r="XB145" s="89"/>
      <c r="XC145" s="89"/>
      <c r="XD145" s="89"/>
      <c r="XE145" s="89"/>
      <c r="XF145" s="89"/>
      <c r="XG145" s="89"/>
      <c r="XH145" s="89"/>
      <c r="XI145" s="89"/>
      <c r="XJ145" s="89"/>
      <c r="XK145" s="89"/>
      <c r="XL145" s="89"/>
      <c r="XM145" s="89"/>
      <c r="XN145" s="89"/>
      <c r="XO145" s="89"/>
      <c r="XP145" s="89"/>
      <c r="XQ145" s="89"/>
      <c r="XR145" s="89"/>
      <c r="XS145" s="89"/>
      <c r="XT145" s="89"/>
      <c r="XU145" s="89"/>
      <c r="XV145" s="89"/>
      <c r="XW145" s="89"/>
      <c r="XX145" s="89"/>
      <c r="XY145" s="89"/>
      <c r="XZ145" s="89"/>
      <c r="YA145" s="89"/>
      <c r="YB145" s="89"/>
      <c r="YC145" s="89"/>
      <c r="YD145" s="89"/>
      <c r="YE145" s="89"/>
      <c r="YF145" s="89"/>
      <c r="YG145" s="89"/>
      <c r="YH145" s="89"/>
      <c r="YI145" s="89"/>
      <c r="YJ145" s="89"/>
      <c r="YK145" s="89"/>
      <c r="YL145" s="89"/>
      <c r="YM145" s="89"/>
      <c r="YN145" s="89"/>
      <c r="YO145" s="89"/>
      <c r="YP145" s="89"/>
      <c r="YQ145" s="89"/>
      <c r="YR145" s="89"/>
      <c r="YS145" s="89"/>
      <c r="YT145" s="89"/>
      <c r="YU145" s="89"/>
      <c r="YV145" s="89"/>
      <c r="YW145" s="89"/>
      <c r="YX145" s="89"/>
      <c r="YY145" s="89"/>
      <c r="YZ145" s="89"/>
      <c r="ZA145" s="89"/>
      <c r="ZB145" s="89"/>
      <c r="ZC145" s="89"/>
      <c r="ZD145" s="89"/>
      <c r="ZE145" s="89"/>
      <c r="ZF145" s="89"/>
      <c r="ZG145" s="89"/>
      <c r="ZH145" s="89"/>
      <c r="ZI145" s="89"/>
      <c r="ZJ145" s="89"/>
      <c r="ZK145" s="89"/>
      <c r="ZL145" s="89"/>
      <c r="ZM145" s="89"/>
      <c r="ZN145" s="89"/>
      <c r="ZO145" s="89"/>
      <c r="ZP145" s="89"/>
      <c r="ZQ145" s="89"/>
      <c r="ZR145" s="89"/>
      <c r="ZS145" s="89"/>
      <c r="ZT145" s="89"/>
      <c r="ZU145" s="89"/>
      <c r="ZV145" s="89"/>
      <c r="ZW145" s="89"/>
      <c r="ZX145" s="89"/>
      <c r="ZY145" s="89"/>
      <c r="ZZ145" s="89"/>
      <c r="AAA145" s="89"/>
      <c r="AAB145" s="89"/>
      <c r="AAC145" s="89"/>
      <c r="AAD145" s="89"/>
      <c r="AAE145" s="89"/>
      <c r="AAF145" s="89"/>
      <c r="AAG145" s="89"/>
      <c r="AAH145" s="89"/>
      <c r="AAI145" s="89"/>
      <c r="AAJ145" s="89"/>
      <c r="AAK145" s="89"/>
      <c r="AAL145" s="89"/>
      <c r="AAM145" s="89"/>
      <c r="AAN145" s="89"/>
      <c r="AAO145" s="89"/>
      <c r="AAP145" s="89"/>
      <c r="AAQ145" s="89"/>
      <c r="AAR145" s="89"/>
      <c r="AAS145" s="89"/>
      <c r="AAT145" s="89"/>
      <c r="AAU145" s="89"/>
      <c r="AAV145" s="89"/>
      <c r="AAW145" s="89"/>
      <c r="AAX145" s="89"/>
      <c r="AAY145" s="89"/>
      <c r="AAZ145" s="89"/>
      <c r="ABA145" s="89"/>
      <c r="ABB145" s="89"/>
      <c r="ABC145" s="89"/>
      <c r="ABD145" s="89"/>
      <c r="ABE145" s="89"/>
      <c r="ABF145" s="89"/>
      <c r="ABG145" s="89"/>
      <c r="ABH145" s="89"/>
      <c r="ABI145" s="89"/>
      <c r="ABJ145" s="89"/>
      <c r="ABK145" s="89"/>
      <c r="ABL145" s="89"/>
      <c r="ABM145" s="89"/>
      <c r="ABN145" s="89"/>
      <c r="ABO145" s="89"/>
      <c r="ABP145" s="89"/>
      <c r="ABQ145" s="89"/>
      <c r="ABR145" s="89"/>
      <c r="ABS145" s="89"/>
      <c r="ABT145" s="89"/>
      <c r="ABU145" s="89"/>
      <c r="ABV145" s="89"/>
      <c r="ABW145" s="89"/>
      <c r="ABX145" s="89"/>
      <c r="ABY145" s="89"/>
      <c r="ABZ145" s="89"/>
      <c r="ACA145" s="89"/>
      <c r="ACB145" s="89"/>
      <c r="ACC145" s="89"/>
      <c r="ACD145" s="89"/>
      <c r="ACE145" s="89"/>
      <c r="ACF145" s="89"/>
      <c r="ACG145" s="89"/>
      <c r="ACH145" s="89"/>
      <c r="ACI145" s="89"/>
      <c r="ACJ145" s="89"/>
      <c r="ACK145" s="89"/>
      <c r="ACL145" s="89"/>
      <c r="ACM145" s="89"/>
      <c r="ACN145" s="89"/>
      <c r="ACO145" s="89"/>
      <c r="ACP145" s="89"/>
      <c r="ACQ145" s="89"/>
      <c r="ACR145" s="89"/>
      <c r="ACS145" s="89"/>
      <c r="ACT145" s="89"/>
      <c r="ACU145" s="89"/>
      <c r="ACV145" s="89"/>
      <c r="ACW145" s="89"/>
      <c r="ACX145" s="89"/>
      <c r="ACY145" s="89"/>
      <c r="ACZ145" s="89"/>
      <c r="ADA145" s="89"/>
      <c r="ADB145" s="89"/>
      <c r="ADC145" s="89"/>
      <c r="ADD145" s="89"/>
      <c r="ADE145" s="89"/>
      <c r="ADF145" s="89"/>
      <c r="ADG145" s="89"/>
      <c r="ADH145" s="89"/>
      <c r="ADI145" s="89"/>
      <c r="ADJ145" s="89"/>
      <c r="ADK145" s="89"/>
      <c r="ADL145" s="89"/>
      <c r="ADM145" s="89"/>
      <c r="ADN145" s="89"/>
      <c r="ADO145" s="89"/>
      <c r="ADP145" s="89"/>
      <c r="ADQ145" s="89"/>
      <c r="ADR145" s="89"/>
      <c r="ADS145" s="89"/>
      <c r="ADT145" s="89"/>
      <c r="ADU145" s="89"/>
      <c r="ADV145" s="89"/>
      <c r="ADW145" s="89"/>
      <c r="ADX145" s="89"/>
      <c r="ADY145" s="89"/>
      <c r="ADZ145" s="89"/>
      <c r="AEA145" s="89"/>
      <c r="AEB145" s="89"/>
      <c r="AEC145" s="89"/>
      <c r="AED145" s="89"/>
      <c r="AEE145" s="89"/>
      <c r="AEF145" s="89"/>
      <c r="AEG145" s="89"/>
      <c r="AEH145" s="89"/>
      <c r="AEI145" s="89"/>
      <c r="AEJ145" s="89"/>
      <c r="AEK145" s="89"/>
      <c r="AEL145" s="89"/>
      <c r="AEM145" s="89"/>
      <c r="AEN145" s="89"/>
      <c r="AEO145" s="89"/>
      <c r="AEP145" s="89"/>
      <c r="AEQ145" s="89"/>
      <c r="AER145" s="89"/>
      <c r="AES145" s="89"/>
      <c r="AET145" s="89"/>
      <c r="AEU145" s="89"/>
      <c r="AEV145" s="89"/>
      <c r="AEW145" s="89"/>
      <c r="AEX145" s="89"/>
      <c r="AEY145" s="89"/>
      <c r="AEZ145" s="89"/>
      <c r="AFA145" s="89"/>
      <c r="AFB145" s="89"/>
      <c r="AFC145" s="89"/>
      <c r="AFD145" s="89"/>
      <c r="AFE145" s="89"/>
      <c r="AFF145" s="89"/>
      <c r="AFG145" s="89"/>
      <c r="AFH145" s="89"/>
      <c r="AFI145" s="89"/>
      <c r="AFJ145" s="89"/>
      <c r="AFK145" s="89"/>
      <c r="AFL145" s="89"/>
      <c r="AFM145" s="89"/>
      <c r="AFN145" s="89"/>
      <c r="AFO145" s="89"/>
      <c r="AFP145" s="89"/>
      <c r="AFQ145" s="89"/>
      <c r="AFR145" s="89"/>
      <c r="AFS145" s="89"/>
      <c r="AFT145" s="89"/>
      <c r="AFU145" s="89"/>
      <c r="AFV145" s="89"/>
      <c r="AFW145" s="89"/>
      <c r="AFX145" s="89"/>
      <c r="AFY145" s="89"/>
      <c r="AFZ145" s="89"/>
      <c r="AGA145" s="89"/>
      <c r="AGB145" s="89"/>
      <c r="AGC145" s="89"/>
      <c r="AGD145" s="89"/>
      <c r="AGE145" s="89"/>
      <c r="AGF145" s="89"/>
      <c r="AGG145" s="89"/>
      <c r="AGH145" s="89"/>
      <c r="AGI145" s="89"/>
      <c r="AGJ145" s="89"/>
      <c r="AGK145" s="89"/>
      <c r="AGL145" s="89"/>
      <c r="AGM145" s="89"/>
      <c r="AGN145" s="89"/>
      <c r="AGO145" s="89"/>
      <c r="AGP145" s="89"/>
      <c r="AGQ145" s="89"/>
      <c r="AGR145" s="89"/>
      <c r="AGS145" s="89"/>
      <c r="AGT145" s="89"/>
      <c r="AGU145" s="89"/>
      <c r="AGV145" s="89"/>
      <c r="AGW145" s="89"/>
      <c r="AGX145" s="89"/>
      <c r="AGY145" s="89"/>
      <c r="AGZ145" s="89"/>
      <c r="AHA145" s="89"/>
      <c r="AHB145" s="89"/>
      <c r="AHC145" s="89"/>
      <c r="AHD145" s="89"/>
      <c r="AHE145" s="89"/>
      <c r="AHF145" s="89"/>
      <c r="AHG145" s="89"/>
      <c r="AHH145" s="89"/>
      <c r="AHI145" s="89"/>
      <c r="AHJ145" s="89"/>
      <c r="AHK145" s="89"/>
      <c r="AHL145" s="89"/>
      <c r="AHM145" s="89"/>
      <c r="AHN145" s="89"/>
      <c r="AHO145" s="89"/>
      <c r="AHP145" s="89"/>
      <c r="AHQ145" s="89"/>
      <c r="AHR145" s="89"/>
      <c r="AHS145" s="89"/>
      <c r="AHT145" s="89"/>
      <c r="AHU145" s="89"/>
      <c r="AHV145" s="89"/>
      <c r="AHW145" s="89"/>
      <c r="AHX145" s="89"/>
      <c r="AHY145" s="89"/>
      <c r="AHZ145" s="89"/>
      <c r="AIA145" s="89"/>
      <c r="AIB145" s="89"/>
      <c r="AIC145" s="89"/>
      <c r="AID145" s="89"/>
      <c r="AIE145" s="89"/>
      <c r="AIF145" s="89"/>
      <c r="AIG145" s="89"/>
      <c r="AIH145" s="89"/>
      <c r="AII145" s="89"/>
      <c r="AIJ145" s="89"/>
      <c r="AIK145" s="89"/>
      <c r="AIL145" s="89"/>
      <c r="AIM145" s="89"/>
      <c r="AIN145" s="89"/>
      <c r="AIO145" s="89"/>
      <c r="AIP145" s="89"/>
      <c r="AIQ145" s="89"/>
      <c r="AIR145" s="89"/>
      <c r="AIS145" s="89"/>
      <c r="AIT145" s="89"/>
      <c r="AIU145" s="89"/>
      <c r="AIV145" s="89"/>
      <c r="AIW145" s="89"/>
      <c r="AIX145" s="89"/>
      <c r="AIY145" s="89"/>
      <c r="AIZ145" s="89"/>
      <c r="AJA145" s="89"/>
      <c r="AJB145" s="89"/>
      <c r="AJC145" s="89"/>
      <c r="AJD145" s="89"/>
      <c r="AJE145" s="89"/>
      <c r="AJF145" s="89"/>
      <c r="AJG145" s="89"/>
      <c r="AJH145" s="89"/>
      <c r="AJI145" s="89"/>
      <c r="AJJ145" s="89"/>
      <c r="AJK145" s="89"/>
      <c r="AJL145" s="89"/>
      <c r="AJM145" s="89"/>
      <c r="AJN145" s="89"/>
      <c r="AJO145" s="89"/>
      <c r="AJP145" s="89"/>
      <c r="AJQ145" s="89"/>
      <c r="AJR145" s="89"/>
      <c r="AJS145" s="89"/>
      <c r="AJT145" s="89"/>
      <c r="AJU145" s="89"/>
      <c r="AJV145" s="89"/>
      <c r="AJW145" s="89"/>
      <c r="AJX145" s="89"/>
      <c r="AJY145" s="89"/>
      <c r="AJZ145" s="89"/>
      <c r="AKA145" s="89"/>
      <c r="AKB145" s="89"/>
      <c r="AKC145" s="89"/>
      <c r="AKD145" s="89"/>
      <c r="AKE145" s="89"/>
      <c r="AKF145" s="89"/>
      <c r="AKG145" s="89"/>
      <c r="AKH145" s="89"/>
      <c r="AKI145" s="89"/>
      <c r="AKJ145" s="89"/>
      <c r="AKK145" s="89"/>
      <c r="AKL145" s="89"/>
      <c r="AKM145" s="89"/>
      <c r="AKN145" s="89"/>
      <c r="AKO145" s="89"/>
      <c r="AKP145" s="89"/>
      <c r="AKQ145" s="89"/>
      <c r="AKR145" s="89"/>
      <c r="AKS145" s="89"/>
      <c r="AKT145" s="89"/>
      <c r="AKU145" s="89"/>
      <c r="AKV145" s="89"/>
      <c r="AKW145" s="89"/>
      <c r="AKX145" s="89"/>
      <c r="AKY145" s="89"/>
      <c r="AKZ145" s="89"/>
      <c r="ALA145" s="89"/>
      <c r="ALB145" s="89"/>
      <c r="ALC145" s="89"/>
      <c r="ALD145" s="89"/>
      <c r="ALE145" s="89"/>
      <c r="ALF145" s="89"/>
      <c r="ALG145" s="89"/>
      <c r="ALH145" s="89"/>
      <c r="ALI145" s="89"/>
      <c r="ALJ145" s="89"/>
      <c r="ALK145" s="89"/>
      <c r="ALL145" s="89"/>
      <c r="ALM145" s="89"/>
      <c r="ALN145" s="89"/>
      <c r="ALO145" s="89"/>
      <c r="ALP145" s="89"/>
      <c r="ALQ145" s="89"/>
      <c r="ALR145" s="89"/>
      <c r="ALS145" s="89"/>
      <c r="ALT145" s="89"/>
      <c r="ALU145" s="89"/>
      <c r="ALV145" s="89"/>
      <c r="ALW145" s="89"/>
      <c r="ALX145" s="89"/>
      <c r="ALY145" s="89"/>
      <c r="ALZ145" s="89"/>
      <c r="AMA145" s="89"/>
      <c r="AMB145" s="89"/>
      <c r="AMC145" s="89"/>
      <c r="AMD145" s="89"/>
      <c r="AME145" s="89"/>
      <c r="AMF145" s="89"/>
      <c r="AMG145" s="89"/>
      <c r="AMH145" s="89"/>
      <c r="AMI145" s="89"/>
      <c r="AMJ145" s="89"/>
      <c r="AMK145" s="89"/>
      <c r="AML145" s="89"/>
      <c r="AMM145" s="89"/>
      <c r="AMN145" s="89"/>
      <c r="AMO145" s="89"/>
    </row>
    <row r="146" spans="2:1029">
      <c r="B146" s="89"/>
      <c r="C146" s="89"/>
      <c r="D146" s="89"/>
      <c r="E146" s="173"/>
      <c r="F146" s="89"/>
      <c r="G146" s="173"/>
      <c r="H146" s="89"/>
      <c r="I146" s="89"/>
      <c r="J146" s="89"/>
      <c r="K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/>
      <c r="EP146" s="89"/>
      <c r="EQ146" s="89"/>
      <c r="ER146" s="89"/>
      <c r="ES146" s="89"/>
      <c r="ET146" s="89"/>
      <c r="EU146" s="89"/>
      <c r="EV146" s="89"/>
      <c r="EW146" s="89"/>
      <c r="EX146" s="89"/>
      <c r="EY146" s="89"/>
      <c r="EZ146" s="89"/>
      <c r="FA146" s="89"/>
      <c r="FB146" s="89"/>
      <c r="FC146" s="89"/>
      <c r="FD146" s="89"/>
      <c r="FE146" s="89"/>
      <c r="FF146" s="89"/>
      <c r="FG146" s="89"/>
      <c r="FH146" s="89"/>
      <c r="FI146" s="89"/>
      <c r="FJ146" s="89"/>
      <c r="FK146" s="89"/>
      <c r="FL146" s="89"/>
      <c r="FM146" s="89"/>
      <c r="FN146" s="89"/>
      <c r="FO146" s="89"/>
      <c r="FP146" s="89"/>
      <c r="FQ146" s="89"/>
      <c r="FR146" s="89"/>
      <c r="FS146" s="89"/>
      <c r="FT146" s="89"/>
      <c r="FU146" s="89"/>
      <c r="FV146" s="89"/>
      <c r="FW146" s="89"/>
      <c r="FX146" s="89"/>
      <c r="FY146" s="89"/>
      <c r="FZ146" s="89"/>
      <c r="GA146" s="89"/>
      <c r="GB146" s="89"/>
      <c r="GC146" s="89"/>
      <c r="GD146" s="89"/>
      <c r="GE146" s="89"/>
      <c r="GF146" s="89"/>
      <c r="GG146" s="89"/>
      <c r="GH146" s="89"/>
      <c r="GI146" s="89"/>
      <c r="GJ146" s="89"/>
      <c r="GK146" s="89"/>
      <c r="GL146" s="89"/>
      <c r="GM146" s="89"/>
      <c r="GN146" s="89"/>
      <c r="GO146" s="89"/>
      <c r="GP146" s="89"/>
      <c r="GQ146" s="89"/>
      <c r="GR146" s="89"/>
      <c r="GS146" s="89"/>
      <c r="GT146" s="89"/>
      <c r="GU146" s="89"/>
      <c r="GV146" s="89"/>
      <c r="GW146" s="89"/>
      <c r="GX146" s="89"/>
      <c r="GY146" s="89"/>
      <c r="GZ146" s="89"/>
      <c r="HA146" s="89"/>
      <c r="HB146" s="89"/>
      <c r="HC146" s="89"/>
      <c r="HD146" s="89"/>
      <c r="HE146" s="89"/>
      <c r="HF146" s="89"/>
      <c r="HG146" s="89"/>
      <c r="HH146" s="89"/>
      <c r="HI146" s="89"/>
      <c r="HJ146" s="89"/>
      <c r="HK146" s="89"/>
      <c r="HL146" s="89"/>
      <c r="HM146" s="89"/>
      <c r="HN146" s="89"/>
      <c r="HO146" s="89"/>
      <c r="HP146" s="89"/>
      <c r="HQ146" s="89"/>
      <c r="HR146" s="89"/>
      <c r="HS146" s="89"/>
      <c r="HT146" s="89"/>
      <c r="HU146" s="89"/>
      <c r="HV146" s="89"/>
      <c r="HW146" s="89"/>
      <c r="HX146" s="89"/>
      <c r="HY146" s="89"/>
      <c r="HZ146" s="89"/>
      <c r="IA146" s="89"/>
      <c r="IB146" s="89"/>
      <c r="IC146" s="89"/>
      <c r="ID146" s="89"/>
      <c r="IE146" s="89"/>
      <c r="IF146" s="89"/>
      <c r="IG146" s="89"/>
      <c r="IH146" s="89"/>
      <c r="II146" s="89"/>
      <c r="IJ146" s="89"/>
      <c r="IK146" s="89"/>
      <c r="IL146" s="89"/>
      <c r="IM146" s="89"/>
      <c r="IN146" s="89"/>
      <c r="IO146" s="89"/>
      <c r="IP146" s="89"/>
      <c r="IQ146" s="89"/>
      <c r="IR146" s="89"/>
      <c r="IS146" s="89"/>
      <c r="IT146" s="89"/>
      <c r="IU146" s="89"/>
      <c r="IV146" s="89"/>
      <c r="IW146" s="89"/>
      <c r="IX146" s="89"/>
      <c r="IY146" s="89"/>
      <c r="IZ146" s="89"/>
      <c r="JA146" s="89"/>
      <c r="JB146" s="89"/>
      <c r="JC146" s="89"/>
      <c r="JD146" s="89"/>
      <c r="JE146" s="89"/>
      <c r="JF146" s="89"/>
      <c r="JG146" s="89"/>
      <c r="JH146" s="89"/>
      <c r="JI146" s="89"/>
      <c r="JJ146" s="89"/>
      <c r="JK146" s="89"/>
      <c r="JL146" s="89"/>
      <c r="JM146" s="89"/>
      <c r="JN146" s="89"/>
      <c r="JO146" s="89"/>
      <c r="JP146" s="89"/>
      <c r="JQ146" s="89"/>
      <c r="JR146" s="89"/>
      <c r="JS146" s="89"/>
      <c r="JT146" s="89"/>
      <c r="JU146" s="89"/>
      <c r="JV146" s="89"/>
      <c r="JW146" s="89"/>
      <c r="JX146" s="89"/>
      <c r="JY146" s="89"/>
      <c r="JZ146" s="89"/>
      <c r="KA146" s="89"/>
      <c r="KB146" s="89"/>
      <c r="KC146" s="89"/>
      <c r="KD146" s="89"/>
      <c r="KE146" s="89"/>
      <c r="KF146" s="89"/>
      <c r="KG146" s="89"/>
      <c r="KH146" s="89"/>
      <c r="KI146" s="89"/>
      <c r="KJ146" s="89"/>
      <c r="KK146" s="89"/>
      <c r="KL146" s="89"/>
      <c r="KM146" s="89"/>
      <c r="KN146" s="89"/>
      <c r="KO146" s="89"/>
      <c r="KP146" s="89"/>
      <c r="KQ146" s="89"/>
      <c r="KR146" s="89"/>
      <c r="KS146" s="89"/>
      <c r="KT146" s="89"/>
      <c r="KU146" s="89"/>
      <c r="KV146" s="89"/>
      <c r="KW146" s="89"/>
      <c r="KX146" s="89"/>
      <c r="KY146" s="89"/>
      <c r="KZ146" s="89"/>
      <c r="LA146" s="89"/>
      <c r="LB146" s="89"/>
      <c r="LC146" s="89"/>
      <c r="LD146" s="89"/>
      <c r="LE146" s="89"/>
      <c r="LF146" s="89"/>
      <c r="LG146" s="89"/>
      <c r="LH146" s="89"/>
      <c r="LI146" s="89"/>
      <c r="LJ146" s="89"/>
      <c r="LK146" s="89"/>
      <c r="LL146" s="89"/>
      <c r="LM146" s="89"/>
      <c r="LN146" s="89"/>
      <c r="LO146" s="89"/>
      <c r="LP146" s="89"/>
      <c r="LQ146" s="89"/>
      <c r="LR146" s="89"/>
      <c r="LS146" s="89"/>
      <c r="LT146" s="89"/>
      <c r="LU146" s="89"/>
      <c r="LV146" s="89"/>
      <c r="LW146" s="89"/>
      <c r="LX146" s="89"/>
      <c r="LY146" s="89"/>
      <c r="LZ146" s="89"/>
      <c r="MA146" s="89"/>
      <c r="MB146" s="89"/>
      <c r="MC146" s="89"/>
      <c r="MD146" s="89"/>
      <c r="ME146" s="89"/>
      <c r="MF146" s="89"/>
      <c r="MG146" s="89"/>
      <c r="MH146" s="89"/>
      <c r="MI146" s="89"/>
      <c r="MJ146" s="89"/>
      <c r="MK146" s="89"/>
      <c r="ML146" s="89"/>
      <c r="MM146" s="89"/>
      <c r="MN146" s="89"/>
      <c r="MO146" s="89"/>
      <c r="MP146" s="89"/>
      <c r="MQ146" s="89"/>
      <c r="MR146" s="89"/>
      <c r="MS146" s="89"/>
      <c r="MT146" s="89"/>
      <c r="MU146" s="89"/>
      <c r="MV146" s="89"/>
      <c r="MW146" s="89"/>
      <c r="MX146" s="89"/>
      <c r="MY146" s="89"/>
      <c r="MZ146" s="89"/>
      <c r="NA146" s="89"/>
      <c r="NB146" s="89"/>
      <c r="NC146" s="89"/>
      <c r="ND146" s="89"/>
      <c r="NE146" s="89"/>
      <c r="NF146" s="89"/>
      <c r="NG146" s="89"/>
      <c r="NH146" s="89"/>
      <c r="NI146" s="89"/>
      <c r="NJ146" s="89"/>
      <c r="NK146" s="89"/>
      <c r="NL146" s="89"/>
      <c r="NM146" s="89"/>
      <c r="NN146" s="89"/>
      <c r="NO146" s="89"/>
      <c r="NP146" s="89"/>
      <c r="NQ146" s="89"/>
      <c r="NR146" s="89"/>
      <c r="NS146" s="89"/>
      <c r="NT146" s="89"/>
      <c r="NU146" s="89"/>
      <c r="NV146" s="89"/>
      <c r="NW146" s="89"/>
      <c r="NX146" s="89"/>
      <c r="NY146" s="89"/>
      <c r="NZ146" s="89"/>
      <c r="OA146" s="89"/>
      <c r="OB146" s="89"/>
      <c r="OC146" s="89"/>
      <c r="OD146" s="89"/>
      <c r="OE146" s="89"/>
      <c r="OF146" s="89"/>
      <c r="OG146" s="89"/>
      <c r="OH146" s="89"/>
      <c r="OI146" s="89"/>
      <c r="OJ146" s="89"/>
      <c r="OK146" s="89"/>
      <c r="OL146" s="89"/>
      <c r="OM146" s="89"/>
      <c r="ON146" s="89"/>
      <c r="OO146" s="89"/>
      <c r="OP146" s="89"/>
      <c r="OQ146" s="89"/>
      <c r="OR146" s="89"/>
      <c r="OS146" s="89"/>
      <c r="OT146" s="89"/>
      <c r="OU146" s="89"/>
      <c r="OV146" s="89"/>
      <c r="OW146" s="89"/>
      <c r="OX146" s="89"/>
      <c r="OY146" s="89"/>
      <c r="OZ146" s="89"/>
      <c r="PA146" s="89"/>
      <c r="PB146" s="89"/>
      <c r="PC146" s="89"/>
      <c r="PD146" s="89"/>
      <c r="PE146" s="89"/>
      <c r="PF146" s="89"/>
      <c r="PG146" s="89"/>
      <c r="PH146" s="89"/>
      <c r="PI146" s="89"/>
      <c r="PJ146" s="89"/>
      <c r="PK146" s="89"/>
      <c r="PL146" s="89"/>
      <c r="PM146" s="89"/>
      <c r="PN146" s="89"/>
      <c r="PO146" s="89"/>
      <c r="PP146" s="89"/>
      <c r="PQ146" s="89"/>
      <c r="PR146" s="89"/>
      <c r="PS146" s="89"/>
      <c r="PT146" s="89"/>
      <c r="PU146" s="89"/>
      <c r="PV146" s="89"/>
      <c r="PW146" s="89"/>
      <c r="PX146" s="89"/>
      <c r="PY146" s="89"/>
      <c r="PZ146" s="89"/>
      <c r="QA146" s="89"/>
      <c r="QB146" s="89"/>
      <c r="QC146" s="89"/>
      <c r="QD146" s="89"/>
      <c r="QE146" s="89"/>
      <c r="QF146" s="89"/>
      <c r="QG146" s="89"/>
      <c r="QH146" s="89"/>
      <c r="QI146" s="89"/>
      <c r="QJ146" s="89"/>
      <c r="QK146" s="89"/>
      <c r="QL146" s="89"/>
      <c r="QM146" s="89"/>
      <c r="QN146" s="89"/>
      <c r="QO146" s="89"/>
      <c r="QP146" s="89"/>
      <c r="QQ146" s="89"/>
      <c r="QR146" s="89"/>
      <c r="QS146" s="89"/>
      <c r="QT146" s="89"/>
      <c r="QU146" s="89"/>
      <c r="QV146" s="89"/>
      <c r="QW146" s="89"/>
      <c r="QX146" s="89"/>
      <c r="QY146" s="89"/>
      <c r="QZ146" s="89"/>
      <c r="RA146" s="89"/>
      <c r="RB146" s="89"/>
      <c r="RC146" s="89"/>
      <c r="RD146" s="89"/>
      <c r="RE146" s="89"/>
      <c r="RF146" s="89"/>
      <c r="RG146" s="89"/>
      <c r="RH146" s="89"/>
      <c r="RI146" s="89"/>
      <c r="RJ146" s="89"/>
      <c r="RK146" s="89"/>
      <c r="RL146" s="89"/>
      <c r="RM146" s="89"/>
      <c r="RN146" s="89"/>
      <c r="RO146" s="89"/>
      <c r="RP146" s="89"/>
      <c r="RQ146" s="89"/>
      <c r="RR146" s="89"/>
      <c r="RS146" s="89"/>
      <c r="RT146" s="89"/>
      <c r="RU146" s="89"/>
      <c r="RV146" s="89"/>
      <c r="RW146" s="89"/>
      <c r="RX146" s="89"/>
      <c r="RY146" s="89"/>
      <c r="RZ146" s="89"/>
      <c r="SA146" s="89"/>
      <c r="SB146" s="89"/>
      <c r="SC146" s="89"/>
      <c r="SD146" s="89"/>
      <c r="SE146" s="89"/>
      <c r="SF146" s="89"/>
      <c r="SG146" s="89"/>
      <c r="SH146" s="89"/>
      <c r="SI146" s="89"/>
      <c r="SJ146" s="89"/>
      <c r="SK146" s="89"/>
      <c r="SL146" s="89"/>
      <c r="SM146" s="89"/>
      <c r="SN146" s="89"/>
      <c r="SO146" s="89"/>
      <c r="SP146" s="89"/>
      <c r="SQ146" s="89"/>
      <c r="SR146" s="89"/>
      <c r="SS146" s="89"/>
      <c r="ST146" s="89"/>
      <c r="SU146" s="89"/>
      <c r="SV146" s="89"/>
      <c r="SW146" s="89"/>
      <c r="SX146" s="89"/>
      <c r="SY146" s="89"/>
      <c r="SZ146" s="89"/>
      <c r="TA146" s="89"/>
      <c r="TB146" s="89"/>
      <c r="TC146" s="89"/>
      <c r="TD146" s="89"/>
      <c r="TE146" s="89"/>
      <c r="TF146" s="89"/>
      <c r="TG146" s="89"/>
      <c r="TH146" s="89"/>
      <c r="TI146" s="89"/>
      <c r="TJ146" s="89"/>
      <c r="TK146" s="89"/>
      <c r="TL146" s="89"/>
      <c r="TM146" s="89"/>
      <c r="TN146" s="89"/>
      <c r="TO146" s="89"/>
      <c r="TP146" s="89"/>
      <c r="TQ146" s="89"/>
      <c r="TR146" s="89"/>
      <c r="TS146" s="89"/>
      <c r="TT146" s="89"/>
      <c r="TU146" s="89"/>
      <c r="TV146" s="89"/>
      <c r="TW146" s="89"/>
      <c r="TX146" s="89"/>
      <c r="TY146" s="89"/>
      <c r="TZ146" s="89"/>
      <c r="UA146" s="89"/>
      <c r="UB146" s="89"/>
      <c r="UC146" s="89"/>
      <c r="UD146" s="89"/>
      <c r="UE146" s="89"/>
      <c r="UF146" s="89"/>
      <c r="UG146" s="89"/>
      <c r="UH146" s="89"/>
      <c r="UI146" s="89"/>
      <c r="UJ146" s="89"/>
      <c r="UK146" s="89"/>
      <c r="UL146" s="89"/>
      <c r="UM146" s="89"/>
      <c r="UN146" s="89"/>
      <c r="UO146" s="89"/>
      <c r="UP146" s="89"/>
      <c r="UQ146" s="89"/>
      <c r="UR146" s="89"/>
      <c r="US146" s="89"/>
      <c r="UT146" s="89"/>
      <c r="UU146" s="89"/>
      <c r="UV146" s="89"/>
      <c r="UW146" s="89"/>
      <c r="UX146" s="89"/>
      <c r="UY146" s="89"/>
      <c r="UZ146" s="89"/>
      <c r="VA146" s="89"/>
      <c r="VB146" s="89"/>
      <c r="VC146" s="89"/>
      <c r="VD146" s="89"/>
      <c r="VE146" s="89"/>
      <c r="VF146" s="89"/>
      <c r="VG146" s="89"/>
      <c r="VH146" s="89"/>
      <c r="VI146" s="89"/>
      <c r="VJ146" s="89"/>
      <c r="VK146" s="89"/>
      <c r="VL146" s="89"/>
      <c r="VM146" s="89"/>
      <c r="VN146" s="89"/>
      <c r="VO146" s="89"/>
      <c r="VP146" s="89"/>
      <c r="VQ146" s="89"/>
      <c r="VR146" s="89"/>
      <c r="VS146" s="89"/>
      <c r="VT146" s="89"/>
      <c r="VU146" s="89"/>
      <c r="VV146" s="89"/>
      <c r="VW146" s="89"/>
      <c r="VX146" s="89"/>
      <c r="VY146" s="89"/>
      <c r="VZ146" s="89"/>
      <c r="WA146" s="89"/>
      <c r="WB146" s="89"/>
      <c r="WC146" s="89"/>
      <c r="WD146" s="89"/>
      <c r="WE146" s="89"/>
      <c r="WF146" s="89"/>
      <c r="WG146" s="89"/>
      <c r="WH146" s="89"/>
      <c r="WI146" s="89"/>
      <c r="WJ146" s="89"/>
      <c r="WK146" s="89"/>
      <c r="WL146" s="89"/>
      <c r="WM146" s="89"/>
      <c r="WN146" s="89"/>
      <c r="WO146" s="89"/>
      <c r="WP146" s="89"/>
      <c r="WQ146" s="89"/>
      <c r="WR146" s="89"/>
      <c r="WS146" s="89"/>
      <c r="WT146" s="89"/>
      <c r="WU146" s="89"/>
      <c r="WV146" s="89"/>
      <c r="WW146" s="89"/>
      <c r="WX146" s="89"/>
      <c r="WY146" s="89"/>
      <c r="WZ146" s="89"/>
      <c r="XA146" s="89"/>
      <c r="XB146" s="89"/>
      <c r="XC146" s="89"/>
      <c r="XD146" s="89"/>
      <c r="XE146" s="89"/>
      <c r="XF146" s="89"/>
      <c r="XG146" s="89"/>
      <c r="XH146" s="89"/>
      <c r="XI146" s="89"/>
      <c r="XJ146" s="89"/>
      <c r="XK146" s="89"/>
      <c r="XL146" s="89"/>
      <c r="XM146" s="89"/>
      <c r="XN146" s="89"/>
      <c r="XO146" s="89"/>
      <c r="XP146" s="89"/>
      <c r="XQ146" s="89"/>
      <c r="XR146" s="89"/>
      <c r="XS146" s="89"/>
      <c r="XT146" s="89"/>
      <c r="XU146" s="89"/>
      <c r="XV146" s="89"/>
      <c r="XW146" s="89"/>
      <c r="XX146" s="89"/>
      <c r="XY146" s="89"/>
      <c r="XZ146" s="89"/>
      <c r="YA146" s="89"/>
      <c r="YB146" s="89"/>
      <c r="YC146" s="89"/>
      <c r="YD146" s="89"/>
      <c r="YE146" s="89"/>
      <c r="YF146" s="89"/>
      <c r="YG146" s="89"/>
      <c r="YH146" s="89"/>
      <c r="YI146" s="89"/>
      <c r="YJ146" s="89"/>
      <c r="YK146" s="89"/>
      <c r="YL146" s="89"/>
      <c r="YM146" s="89"/>
      <c r="YN146" s="89"/>
      <c r="YO146" s="89"/>
      <c r="YP146" s="89"/>
      <c r="YQ146" s="89"/>
      <c r="YR146" s="89"/>
      <c r="YS146" s="89"/>
      <c r="YT146" s="89"/>
      <c r="YU146" s="89"/>
      <c r="YV146" s="89"/>
      <c r="YW146" s="89"/>
      <c r="YX146" s="89"/>
      <c r="YY146" s="89"/>
      <c r="YZ146" s="89"/>
      <c r="ZA146" s="89"/>
      <c r="ZB146" s="89"/>
      <c r="ZC146" s="89"/>
      <c r="ZD146" s="89"/>
      <c r="ZE146" s="89"/>
      <c r="ZF146" s="89"/>
      <c r="ZG146" s="89"/>
      <c r="ZH146" s="89"/>
      <c r="ZI146" s="89"/>
      <c r="ZJ146" s="89"/>
      <c r="ZK146" s="89"/>
      <c r="ZL146" s="89"/>
      <c r="ZM146" s="89"/>
      <c r="ZN146" s="89"/>
      <c r="ZO146" s="89"/>
      <c r="ZP146" s="89"/>
      <c r="ZQ146" s="89"/>
      <c r="ZR146" s="89"/>
      <c r="ZS146" s="89"/>
      <c r="ZT146" s="89"/>
      <c r="ZU146" s="89"/>
      <c r="ZV146" s="89"/>
      <c r="ZW146" s="89"/>
      <c r="ZX146" s="89"/>
      <c r="ZY146" s="89"/>
      <c r="ZZ146" s="89"/>
      <c r="AAA146" s="89"/>
      <c r="AAB146" s="89"/>
      <c r="AAC146" s="89"/>
      <c r="AAD146" s="89"/>
      <c r="AAE146" s="89"/>
      <c r="AAF146" s="89"/>
      <c r="AAG146" s="89"/>
      <c r="AAH146" s="89"/>
      <c r="AAI146" s="89"/>
      <c r="AAJ146" s="89"/>
      <c r="AAK146" s="89"/>
      <c r="AAL146" s="89"/>
      <c r="AAM146" s="89"/>
      <c r="AAN146" s="89"/>
      <c r="AAO146" s="89"/>
      <c r="AAP146" s="89"/>
      <c r="AAQ146" s="89"/>
      <c r="AAR146" s="89"/>
      <c r="AAS146" s="89"/>
      <c r="AAT146" s="89"/>
      <c r="AAU146" s="89"/>
      <c r="AAV146" s="89"/>
      <c r="AAW146" s="89"/>
      <c r="AAX146" s="89"/>
      <c r="AAY146" s="89"/>
      <c r="AAZ146" s="89"/>
      <c r="ABA146" s="89"/>
      <c r="ABB146" s="89"/>
      <c r="ABC146" s="89"/>
      <c r="ABD146" s="89"/>
      <c r="ABE146" s="89"/>
      <c r="ABF146" s="89"/>
      <c r="ABG146" s="89"/>
      <c r="ABH146" s="89"/>
      <c r="ABI146" s="89"/>
      <c r="ABJ146" s="89"/>
      <c r="ABK146" s="89"/>
      <c r="ABL146" s="89"/>
      <c r="ABM146" s="89"/>
      <c r="ABN146" s="89"/>
      <c r="ABO146" s="89"/>
      <c r="ABP146" s="89"/>
      <c r="ABQ146" s="89"/>
      <c r="ABR146" s="89"/>
      <c r="ABS146" s="89"/>
      <c r="ABT146" s="89"/>
      <c r="ABU146" s="89"/>
      <c r="ABV146" s="89"/>
      <c r="ABW146" s="89"/>
      <c r="ABX146" s="89"/>
      <c r="ABY146" s="89"/>
      <c r="ABZ146" s="89"/>
      <c r="ACA146" s="89"/>
      <c r="ACB146" s="89"/>
      <c r="ACC146" s="89"/>
      <c r="ACD146" s="89"/>
      <c r="ACE146" s="89"/>
      <c r="ACF146" s="89"/>
      <c r="ACG146" s="89"/>
      <c r="ACH146" s="89"/>
      <c r="ACI146" s="89"/>
      <c r="ACJ146" s="89"/>
      <c r="ACK146" s="89"/>
      <c r="ACL146" s="89"/>
      <c r="ACM146" s="89"/>
      <c r="ACN146" s="89"/>
      <c r="ACO146" s="89"/>
      <c r="ACP146" s="89"/>
      <c r="ACQ146" s="89"/>
      <c r="ACR146" s="89"/>
      <c r="ACS146" s="89"/>
      <c r="ACT146" s="89"/>
      <c r="ACU146" s="89"/>
      <c r="ACV146" s="89"/>
      <c r="ACW146" s="89"/>
      <c r="ACX146" s="89"/>
      <c r="ACY146" s="89"/>
      <c r="ACZ146" s="89"/>
      <c r="ADA146" s="89"/>
      <c r="ADB146" s="89"/>
      <c r="ADC146" s="89"/>
      <c r="ADD146" s="89"/>
      <c r="ADE146" s="89"/>
      <c r="ADF146" s="89"/>
      <c r="ADG146" s="89"/>
      <c r="ADH146" s="89"/>
      <c r="ADI146" s="89"/>
      <c r="ADJ146" s="89"/>
      <c r="ADK146" s="89"/>
      <c r="ADL146" s="89"/>
      <c r="ADM146" s="89"/>
      <c r="ADN146" s="89"/>
      <c r="ADO146" s="89"/>
      <c r="ADP146" s="89"/>
      <c r="ADQ146" s="89"/>
      <c r="ADR146" s="89"/>
      <c r="ADS146" s="89"/>
      <c r="ADT146" s="89"/>
      <c r="ADU146" s="89"/>
      <c r="ADV146" s="89"/>
      <c r="ADW146" s="89"/>
      <c r="ADX146" s="89"/>
      <c r="ADY146" s="89"/>
      <c r="ADZ146" s="89"/>
      <c r="AEA146" s="89"/>
      <c r="AEB146" s="89"/>
      <c r="AEC146" s="89"/>
      <c r="AED146" s="89"/>
      <c r="AEE146" s="89"/>
      <c r="AEF146" s="89"/>
      <c r="AEG146" s="89"/>
      <c r="AEH146" s="89"/>
      <c r="AEI146" s="89"/>
      <c r="AEJ146" s="89"/>
      <c r="AEK146" s="89"/>
      <c r="AEL146" s="89"/>
      <c r="AEM146" s="89"/>
      <c r="AEN146" s="89"/>
      <c r="AEO146" s="89"/>
      <c r="AEP146" s="89"/>
      <c r="AEQ146" s="89"/>
      <c r="AER146" s="89"/>
      <c r="AES146" s="89"/>
      <c r="AET146" s="89"/>
      <c r="AEU146" s="89"/>
      <c r="AEV146" s="89"/>
      <c r="AEW146" s="89"/>
      <c r="AEX146" s="89"/>
      <c r="AEY146" s="89"/>
      <c r="AEZ146" s="89"/>
      <c r="AFA146" s="89"/>
      <c r="AFB146" s="89"/>
      <c r="AFC146" s="89"/>
      <c r="AFD146" s="89"/>
      <c r="AFE146" s="89"/>
      <c r="AFF146" s="89"/>
      <c r="AFG146" s="89"/>
      <c r="AFH146" s="89"/>
      <c r="AFI146" s="89"/>
      <c r="AFJ146" s="89"/>
      <c r="AFK146" s="89"/>
      <c r="AFL146" s="89"/>
      <c r="AFM146" s="89"/>
      <c r="AFN146" s="89"/>
      <c r="AFO146" s="89"/>
      <c r="AFP146" s="89"/>
      <c r="AFQ146" s="89"/>
      <c r="AFR146" s="89"/>
      <c r="AFS146" s="89"/>
      <c r="AFT146" s="89"/>
      <c r="AFU146" s="89"/>
      <c r="AFV146" s="89"/>
      <c r="AFW146" s="89"/>
      <c r="AFX146" s="89"/>
      <c r="AFY146" s="89"/>
      <c r="AFZ146" s="89"/>
      <c r="AGA146" s="89"/>
      <c r="AGB146" s="89"/>
      <c r="AGC146" s="89"/>
      <c r="AGD146" s="89"/>
      <c r="AGE146" s="89"/>
      <c r="AGF146" s="89"/>
      <c r="AGG146" s="89"/>
      <c r="AGH146" s="89"/>
      <c r="AGI146" s="89"/>
      <c r="AGJ146" s="89"/>
      <c r="AGK146" s="89"/>
      <c r="AGL146" s="89"/>
      <c r="AGM146" s="89"/>
      <c r="AGN146" s="89"/>
      <c r="AGO146" s="89"/>
      <c r="AGP146" s="89"/>
      <c r="AGQ146" s="89"/>
      <c r="AGR146" s="89"/>
      <c r="AGS146" s="89"/>
      <c r="AGT146" s="89"/>
      <c r="AGU146" s="89"/>
      <c r="AGV146" s="89"/>
      <c r="AGW146" s="89"/>
      <c r="AGX146" s="89"/>
      <c r="AGY146" s="89"/>
      <c r="AGZ146" s="89"/>
      <c r="AHA146" s="89"/>
      <c r="AHB146" s="89"/>
      <c r="AHC146" s="89"/>
      <c r="AHD146" s="89"/>
      <c r="AHE146" s="89"/>
      <c r="AHF146" s="89"/>
      <c r="AHG146" s="89"/>
      <c r="AHH146" s="89"/>
      <c r="AHI146" s="89"/>
      <c r="AHJ146" s="89"/>
      <c r="AHK146" s="89"/>
      <c r="AHL146" s="89"/>
      <c r="AHM146" s="89"/>
      <c r="AHN146" s="89"/>
      <c r="AHO146" s="89"/>
      <c r="AHP146" s="89"/>
      <c r="AHQ146" s="89"/>
      <c r="AHR146" s="89"/>
      <c r="AHS146" s="89"/>
      <c r="AHT146" s="89"/>
      <c r="AHU146" s="89"/>
      <c r="AHV146" s="89"/>
      <c r="AHW146" s="89"/>
      <c r="AHX146" s="89"/>
      <c r="AHY146" s="89"/>
      <c r="AHZ146" s="89"/>
      <c r="AIA146" s="89"/>
      <c r="AIB146" s="89"/>
      <c r="AIC146" s="89"/>
      <c r="AID146" s="89"/>
      <c r="AIE146" s="89"/>
      <c r="AIF146" s="89"/>
      <c r="AIG146" s="89"/>
      <c r="AIH146" s="89"/>
      <c r="AII146" s="89"/>
      <c r="AIJ146" s="89"/>
      <c r="AIK146" s="89"/>
      <c r="AIL146" s="89"/>
      <c r="AIM146" s="89"/>
      <c r="AIN146" s="89"/>
      <c r="AIO146" s="89"/>
      <c r="AIP146" s="89"/>
      <c r="AIQ146" s="89"/>
      <c r="AIR146" s="89"/>
      <c r="AIS146" s="89"/>
      <c r="AIT146" s="89"/>
      <c r="AIU146" s="89"/>
      <c r="AIV146" s="89"/>
      <c r="AIW146" s="89"/>
      <c r="AIX146" s="89"/>
      <c r="AIY146" s="89"/>
      <c r="AIZ146" s="89"/>
      <c r="AJA146" s="89"/>
      <c r="AJB146" s="89"/>
      <c r="AJC146" s="89"/>
      <c r="AJD146" s="89"/>
      <c r="AJE146" s="89"/>
      <c r="AJF146" s="89"/>
      <c r="AJG146" s="89"/>
      <c r="AJH146" s="89"/>
      <c r="AJI146" s="89"/>
      <c r="AJJ146" s="89"/>
      <c r="AJK146" s="89"/>
      <c r="AJL146" s="89"/>
      <c r="AJM146" s="89"/>
      <c r="AJN146" s="89"/>
      <c r="AJO146" s="89"/>
      <c r="AJP146" s="89"/>
      <c r="AJQ146" s="89"/>
      <c r="AJR146" s="89"/>
      <c r="AJS146" s="89"/>
      <c r="AJT146" s="89"/>
      <c r="AJU146" s="89"/>
      <c r="AJV146" s="89"/>
      <c r="AJW146" s="89"/>
      <c r="AJX146" s="89"/>
      <c r="AJY146" s="89"/>
      <c r="AJZ146" s="89"/>
      <c r="AKA146" s="89"/>
      <c r="AKB146" s="89"/>
      <c r="AKC146" s="89"/>
      <c r="AKD146" s="89"/>
      <c r="AKE146" s="89"/>
      <c r="AKF146" s="89"/>
      <c r="AKG146" s="89"/>
      <c r="AKH146" s="89"/>
      <c r="AKI146" s="89"/>
      <c r="AKJ146" s="89"/>
      <c r="AKK146" s="89"/>
      <c r="AKL146" s="89"/>
      <c r="AKM146" s="89"/>
      <c r="AKN146" s="89"/>
      <c r="AKO146" s="89"/>
      <c r="AKP146" s="89"/>
      <c r="AKQ146" s="89"/>
      <c r="AKR146" s="89"/>
      <c r="AKS146" s="89"/>
      <c r="AKT146" s="89"/>
      <c r="AKU146" s="89"/>
      <c r="AKV146" s="89"/>
      <c r="AKW146" s="89"/>
      <c r="AKX146" s="89"/>
      <c r="AKY146" s="89"/>
      <c r="AKZ146" s="89"/>
      <c r="ALA146" s="89"/>
      <c r="ALB146" s="89"/>
      <c r="ALC146" s="89"/>
      <c r="ALD146" s="89"/>
      <c r="ALE146" s="89"/>
      <c r="ALF146" s="89"/>
      <c r="ALG146" s="89"/>
      <c r="ALH146" s="89"/>
      <c r="ALI146" s="89"/>
      <c r="ALJ146" s="89"/>
      <c r="ALK146" s="89"/>
      <c r="ALL146" s="89"/>
      <c r="ALM146" s="89"/>
      <c r="ALN146" s="89"/>
      <c r="ALO146" s="89"/>
      <c r="ALP146" s="89"/>
      <c r="ALQ146" s="89"/>
      <c r="ALR146" s="89"/>
      <c r="ALS146" s="89"/>
      <c r="ALT146" s="89"/>
      <c r="ALU146" s="89"/>
      <c r="ALV146" s="89"/>
      <c r="ALW146" s="89"/>
      <c r="ALX146" s="89"/>
      <c r="ALY146" s="89"/>
      <c r="ALZ146" s="89"/>
      <c r="AMA146" s="89"/>
      <c r="AMB146" s="89"/>
      <c r="AMC146" s="89"/>
      <c r="AMD146" s="89"/>
      <c r="AME146" s="89"/>
      <c r="AMF146" s="89"/>
      <c r="AMG146" s="89"/>
      <c r="AMH146" s="89"/>
      <c r="AMI146" s="89"/>
      <c r="AMJ146" s="89"/>
      <c r="AMK146" s="89"/>
      <c r="AML146" s="89"/>
      <c r="AMM146" s="89"/>
      <c r="AMN146" s="89"/>
      <c r="AMO146" s="89"/>
    </row>
    <row r="147" spans="2:1029">
      <c r="B147" s="89"/>
      <c r="C147" s="89"/>
      <c r="D147" s="89"/>
      <c r="E147" s="173"/>
      <c r="F147" s="89"/>
      <c r="G147" s="173"/>
      <c r="H147" s="89"/>
      <c r="I147" s="89"/>
      <c r="J147" s="89"/>
      <c r="K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  <c r="DZ147" s="89"/>
      <c r="EA147" s="89"/>
      <c r="EB147" s="89"/>
      <c r="EC147" s="89"/>
      <c r="ED147" s="89"/>
      <c r="EE147" s="89"/>
      <c r="EF147" s="89"/>
      <c r="EG147" s="89"/>
      <c r="EH147" s="89"/>
      <c r="EI147" s="89"/>
      <c r="EJ147" s="89"/>
      <c r="EK147" s="89"/>
      <c r="EL147" s="89"/>
      <c r="EM147" s="89"/>
      <c r="EN147" s="89"/>
      <c r="EO147" s="89"/>
      <c r="EP147" s="89"/>
      <c r="EQ147" s="89"/>
      <c r="ER147" s="89"/>
      <c r="ES147" s="89"/>
      <c r="ET147" s="89"/>
      <c r="EU147" s="89"/>
      <c r="EV147" s="89"/>
      <c r="EW147" s="89"/>
      <c r="EX147" s="89"/>
      <c r="EY147" s="89"/>
      <c r="EZ147" s="89"/>
      <c r="FA147" s="89"/>
      <c r="FB147" s="89"/>
      <c r="FC147" s="89"/>
      <c r="FD147" s="89"/>
      <c r="FE147" s="89"/>
      <c r="FF147" s="89"/>
      <c r="FG147" s="89"/>
      <c r="FH147" s="89"/>
      <c r="FI147" s="89"/>
      <c r="FJ147" s="89"/>
      <c r="FK147" s="89"/>
      <c r="FL147" s="89"/>
      <c r="FM147" s="89"/>
      <c r="FN147" s="89"/>
      <c r="FO147" s="89"/>
      <c r="FP147" s="89"/>
      <c r="FQ147" s="89"/>
      <c r="FR147" s="89"/>
      <c r="FS147" s="89"/>
      <c r="FT147" s="89"/>
      <c r="FU147" s="89"/>
      <c r="FV147" s="89"/>
      <c r="FW147" s="89"/>
      <c r="FX147" s="89"/>
      <c r="FY147" s="89"/>
      <c r="FZ147" s="89"/>
      <c r="GA147" s="89"/>
      <c r="GB147" s="89"/>
      <c r="GC147" s="89"/>
      <c r="GD147" s="89"/>
      <c r="GE147" s="89"/>
      <c r="GF147" s="89"/>
      <c r="GG147" s="89"/>
      <c r="GH147" s="89"/>
      <c r="GI147" s="89"/>
      <c r="GJ147" s="89"/>
      <c r="GK147" s="89"/>
      <c r="GL147" s="89"/>
      <c r="GM147" s="89"/>
      <c r="GN147" s="89"/>
      <c r="GO147" s="89"/>
      <c r="GP147" s="89"/>
      <c r="GQ147" s="89"/>
      <c r="GR147" s="89"/>
      <c r="GS147" s="89"/>
      <c r="GT147" s="89"/>
      <c r="GU147" s="89"/>
      <c r="GV147" s="89"/>
      <c r="GW147" s="89"/>
      <c r="GX147" s="89"/>
      <c r="GY147" s="89"/>
      <c r="GZ147" s="89"/>
      <c r="HA147" s="89"/>
      <c r="HB147" s="89"/>
      <c r="HC147" s="89"/>
      <c r="HD147" s="89"/>
      <c r="HE147" s="89"/>
      <c r="HF147" s="89"/>
      <c r="HG147" s="89"/>
      <c r="HH147" s="89"/>
      <c r="HI147" s="89"/>
      <c r="HJ147" s="89"/>
      <c r="HK147" s="89"/>
      <c r="HL147" s="89"/>
      <c r="HM147" s="89"/>
      <c r="HN147" s="89"/>
      <c r="HO147" s="89"/>
      <c r="HP147" s="89"/>
      <c r="HQ147" s="89"/>
      <c r="HR147" s="89"/>
      <c r="HS147" s="89"/>
      <c r="HT147" s="89"/>
      <c r="HU147" s="89"/>
      <c r="HV147" s="89"/>
      <c r="HW147" s="89"/>
      <c r="HX147" s="89"/>
      <c r="HY147" s="89"/>
      <c r="HZ147" s="89"/>
      <c r="IA147" s="89"/>
      <c r="IB147" s="89"/>
      <c r="IC147" s="89"/>
      <c r="ID147" s="89"/>
      <c r="IE147" s="89"/>
      <c r="IF147" s="89"/>
      <c r="IG147" s="89"/>
      <c r="IH147" s="89"/>
      <c r="II147" s="89"/>
      <c r="IJ147" s="89"/>
      <c r="IK147" s="89"/>
      <c r="IL147" s="89"/>
      <c r="IM147" s="89"/>
      <c r="IN147" s="89"/>
      <c r="IO147" s="89"/>
      <c r="IP147" s="89"/>
      <c r="IQ147" s="89"/>
      <c r="IR147" s="89"/>
      <c r="IS147" s="89"/>
      <c r="IT147" s="89"/>
      <c r="IU147" s="89"/>
      <c r="IV147" s="89"/>
      <c r="IW147" s="89"/>
      <c r="IX147" s="89"/>
      <c r="IY147" s="89"/>
      <c r="IZ147" s="89"/>
      <c r="JA147" s="89"/>
      <c r="JB147" s="89"/>
      <c r="JC147" s="89"/>
      <c r="JD147" s="89"/>
      <c r="JE147" s="89"/>
      <c r="JF147" s="89"/>
      <c r="JG147" s="89"/>
      <c r="JH147" s="89"/>
      <c r="JI147" s="89"/>
      <c r="JJ147" s="89"/>
      <c r="JK147" s="89"/>
      <c r="JL147" s="89"/>
      <c r="JM147" s="89"/>
      <c r="JN147" s="89"/>
      <c r="JO147" s="89"/>
      <c r="JP147" s="89"/>
      <c r="JQ147" s="89"/>
      <c r="JR147" s="89"/>
      <c r="JS147" s="89"/>
      <c r="JT147" s="89"/>
      <c r="JU147" s="89"/>
      <c r="JV147" s="89"/>
      <c r="JW147" s="89"/>
      <c r="JX147" s="89"/>
      <c r="JY147" s="89"/>
      <c r="JZ147" s="89"/>
      <c r="KA147" s="89"/>
      <c r="KB147" s="89"/>
      <c r="KC147" s="89"/>
      <c r="KD147" s="89"/>
      <c r="KE147" s="89"/>
      <c r="KF147" s="89"/>
      <c r="KG147" s="89"/>
      <c r="KH147" s="89"/>
      <c r="KI147" s="89"/>
      <c r="KJ147" s="89"/>
      <c r="KK147" s="89"/>
      <c r="KL147" s="89"/>
      <c r="KM147" s="89"/>
      <c r="KN147" s="89"/>
      <c r="KO147" s="89"/>
      <c r="KP147" s="89"/>
      <c r="KQ147" s="89"/>
      <c r="KR147" s="89"/>
      <c r="KS147" s="89"/>
      <c r="KT147" s="89"/>
      <c r="KU147" s="89"/>
      <c r="KV147" s="89"/>
      <c r="KW147" s="89"/>
      <c r="KX147" s="89"/>
      <c r="KY147" s="89"/>
      <c r="KZ147" s="89"/>
      <c r="LA147" s="89"/>
      <c r="LB147" s="89"/>
      <c r="LC147" s="89"/>
      <c r="LD147" s="89"/>
      <c r="LE147" s="89"/>
      <c r="LF147" s="89"/>
      <c r="LG147" s="89"/>
      <c r="LH147" s="89"/>
      <c r="LI147" s="89"/>
      <c r="LJ147" s="89"/>
      <c r="LK147" s="89"/>
      <c r="LL147" s="89"/>
      <c r="LM147" s="89"/>
      <c r="LN147" s="89"/>
      <c r="LO147" s="89"/>
      <c r="LP147" s="89"/>
      <c r="LQ147" s="89"/>
      <c r="LR147" s="89"/>
      <c r="LS147" s="89"/>
      <c r="LT147" s="89"/>
      <c r="LU147" s="89"/>
      <c r="LV147" s="89"/>
      <c r="LW147" s="89"/>
      <c r="LX147" s="89"/>
      <c r="LY147" s="89"/>
      <c r="LZ147" s="89"/>
      <c r="MA147" s="89"/>
      <c r="MB147" s="89"/>
      <c r="MC147" s="89"/>
      <c r="MD147" s="89"/>
      <c r="ME147" s="89"/>
      <c r="MF147" s="89"/>
      <c r="MG147" s="89"/>
      <c r="MH147" s="89"/>
      <c r="MI147" s="89"/>
      <c r="MJ147" s="89"/>
      <c r="MK147" s="89"/>
      <c r="ML147" s="89"/>
      <c r="MM147" s="89"/>
      <c r="MN147" s="89"/>
      <c r="MO147" s="89"/>
      <c r="MP147" s="89"/>
      <c r="MQ147" s="89"/>
      <c r="MR147" s="89"/>
      <c r="MS147" s="89"/>
      <c r="MT147" s="89"/>
      <c r="MU147" s="89"/>
      <c r="MV147" s="89"/>
      <c r="MW147" s="89"/>
      <c r="MX147" s="89"/>
      <c r="MY147" s="89"/>
      <c r="MZ147" s="89"/>
      <c r="NA147" s="89"/>
      <c r="NB147" s="89"/>
      <c r="NC147" s="89"/>
      <c r="ND147" s="89"/>
      <c r="NE147" s="89"/>
      <c r="NF147" s="89"/>
      <c r="NG147" s="89"/>
      <c r="NH147" s="89"/>
      <c r="NI147" s="89"/>
      <c r="NJ147" s="89"/>
      <c r="NK147" s="89"/>
      <c r="NL147" s="89"/>
      <c r="NM147" s="89"/>
      <c r="NN147" s="89"/>
      <c r="NO147" s="89"/>
      <c r="NP147" s="89"/>
      <c r="NQ147" s="89"/>
      <c r="NR147" s="89"/>
      <c r="NS147" s="89"/>
      <c r="NT147" s="89"/>
      <c r="NU147" s="89"/>
      <c r="NV147" s="89"/>
      <c r="NW147" s="89"/>
      <c r="NX147" s="89"/>
      <c r="NY147" s="89"/>
      <c r="NZ147" s="89"/>
      <c r="OA147" s="89"/>
      <c r="OB147" s="89"/>
      <c r="OC147" s="89"/>
      <c r="OD147" s="89"/>
      <c r="OE147" s="89"/>
      <c r="OF147" s="89"/>
      <c r="OG147" s="89"/>
      <c r="OH147" s="89"/>
      <c r="OI147" s="89"/>
      <c r="OJ147" s="89"/>
      <c r="OK147" s="89"/>
      <c r="OL147" s="89"/>
      <c r="OM147" s="89"/>
      <c r="ON147" s="89"/>
      <c r="OO147" s="89"/>
      <c r="OP147" s="89"/>
      <c r="OQ147" s="89"/>
      <c r="OR147" s="89"/>
      <c r="OS147" s="89"/>
      <c r="OT147" s="89"/>
      <c r="OU147" s="89"/>
      <c r="OV147" s="89"/>
      <c r="OW147" s="89"/>
      <c r="OX147" s="89"/>
      <c r="OY147" s="89"/>
      <c r="OZ147" s="89"/>
      <c r="PA147" s="89"/>
      <c r="PB147" s="89"/>
      <c r="PC147" s="89"/>
      <c r="PD147" s="89"/>
      <c r="PE147" s="89"/>
      <c r="PF147" s="89"/>
      <c r="PG147" s="89"/>
      <c r="PH147" s="89"/>
      <c r="PI147" s="89"/>
      <c r="PJ147" s="89"/>
      <c r="PK147" s="89"/>
      <c r="PL147" s="89"/>
      <c r="PM147" s="89"/>
      <c r="PN147" s="89"/>
      <c r="PO147" s="89"/>
      <c r="PP147" s="89"/>
      <c r="PQ147" s="89"/>
      <c r="PR147" s="89"/>
      <c r="PS147" s="89"/>
      <c r="PT147" s="89"/>
      <c r="PU147" s="89"/>
      <c r="PV147" s="89"/>
      <c r="PW147" s="89"/>
      <c r="PX147" s="89"/>
      <c r="PY147" s="89"/>
      <c r="PZ147" s="89"/>
      <c r="QA147" s="89"/>
      <c r="QB147" s="89"/>
      <c r="QC147" s="89"/>
      <c r="QD147" s="89"/>
      <c r="QE147" s="89"/>
      <c r="QF147" s="89"/>
      <c r="QG147" s="89"/>
      <c r="QH147" s="89"/>
      <c r="QI147" s="89"/>
      <c r="QJ147" s="89"/>
      <c r="QK147" s="89"/>
      <c r="QL147" s="89"/>
      <c r="QM147" s="89"/>
      <c r="QN147" s="89"/>
      <c r="QO147" s="89"/>
      <c r="QP147" s="89"/>
      <c r="QQ147" s="89"/>
      <c r="QR147" s="89"/>
      <c r="QS147" s="89"/>
      <c r="QT147" s="89"/>
      <c r="QU147" s="89"/>
      <c r="QV147" s="89"/>
      <c r="QW147" s="89"/>
      <c r="QX147" s="89"/>
      <c r="QY147" s="89"/>
      <c r="QZ147" s="89"/>
      <c r="RA147" s="89"/>
      <c r="RB147" s="89"/>
      <c r="RC147" s="89"/>
      <c r="RD147" s="89"/>
      <c r="RE147" s="89"/>
      <c r="RF147" s="89"/>
      <c r="RG147" s="89"/>
      <c r="RH147" s="89"/>
      <c r="RI147" s="89"/>
      <c r="RJ147" s="89"/>
      <c r="RK147" s="89"/>
      <c r="RL147" s="89"/>
      <c r="RM147" s="89"/>
      <c r="RN147" s="89"/>
      <c r="RO147" s="89"/>
      <c r="RP147" s="89"/>
      <c r="RQ147" s="89"/>
      <c r="RR147" s="89"/>
      <c r="RS147" s="89"/>
      <c r="RT147" s="89"/>
      <c r="RU147" s="89"/>
      <c r="RV147" s="89"/>
      <c r="RW147" s="89"/>
      <c r="RX147" s="89"/>
      <c r="RY147" s="89"/>
      <c r="RZ147" s="89"/>
      <c r="SA147" s="89"/>
      <c r="SB147" s="89"/>
      <c r="SC147" s="89"/>
      <c r="SD147" s="89"/>
      <c r="SE147" s="89"/>
      <c r="SF147" s="89"/>
      <c r="SG147" s="89"/>
      <c r="SH147" s="89"/>
      <c r="SI147" s="89"/>
      <c r="SJ147" s="89"/>
      <c r="SK147" s="89"/>
      <c r="SL147" s="89"/>
      <c r="SM147" s="89"/>
      <c r="SN147" s="89"/>
      <c r="SO147" s="89"/>
      <c r="SP147" s="89"/>
      <c r="SQ147" s="89"/>
      <c r="SR147" s="89"/>
      <c r="SS147" s="89"/>
      <c r="ST147" s="89"/>
      <c r="SU147" s="89"/>
      <c r="SV147" s="89"/>
      <c r="SW147" s="89"/>
      <c r="SX147" s="89"/>
      <c r="SY147" s="89"/>
      <c r="SZ147" s="89"/>
      <c r="TA147" s="89"/>
      <c r="TB147" s="89"/>
      <c r="TC147" s="89"/>
      <c r="TD147" s="89"/>
      <c r="TE147" s="89"/>
      <c r="TF147" s="89"/>
      <c r="TG147" s="89"/>
      <c r="TH147" s="89"/>
      <c r="TI147" s="89"/>
      <c r="TJ147" s="89"/>
      <c r="TK147" s="89"/>
      <c r="TL147" s="89"/>
      <c r="TM147" s="89"/>
      <c r="TN147" s="89"/>
      <c r="TO147" s="89"/>
      <c r="TP147" s="89"/>
      <c r="TQ147" s="89"/>
      <c r="TR147" s="89"/>
      <c r="TS147" s="89"/>
      <c r="TT147" s="89"/>
      <c r="TU147" s="89"/>
      <c r="TV147" s="89"/>
      <c r="TW147" s="89"/>
      <c r="TX147" s="89"/>
      <c r="TY147" s="89"/>
      <c r="TZ147" s="89"/>
      <c r="UA147" s="89"/>
      <c r="UB147" s="89"/>
      <c r="UC147" s="89"/>
      <c r="UD147" s="89"/>
      <c r="UE147" s="89"/>
      <c r="UF147" s="89"/>
      <c r="UG147" s="89"/>
      <c r="UH147" s="89"/>
      <c r="UI147" s="89"/>
      <c r="UJ147" s="89"/>
      <c r="UK147" s="89"/>
      <c r="UL147" s="89"/>
      <c r="UM147" s="89"/>
      <c r="UN147" s="89"/>
      <c r="UO147" s="89"/>
      <c r="UP147" s="89"/>
      <c r="UQ147" s="89"/>
      <c r="UR147" s="89"/>
      <c r="US147" s="89"/>
      <c r="UT147" s="89"/>
      <c r="UU147" s="89"/>
      <c r="UV147" s="89"/>
      <c r="UW147" s="89"/>
      <c r="UX147" s="89"/>
      <c r="UY147" s="89"/>
      <c r="UZ147" s="89"/>
      <c r="VA147" s="89"/>
      <c r="VB147" s="89"/>
      <c r="VC147" s="89"/>
      <c r="VD147" s="89"/>
      <c r="VE147" s="89"/>
      <c r="VF147" s="89"/>
      <c r="VG147" s="89"/>
      <c r="VH147" s="89"/>
      <c r="VI147" s="89"/>
      <c r="VJ147" s="89"/>
      <c r="VK147" s="89"/>
      <c r="VL147" s="89"/>
      <c r="VM147" s="89"/>
      <c r="VN147" s="89"/>
      <c r="VO147" s="89"/>
      <c r="VP147" s="89"/>
      <c r="VQ147" s="89"/>
      <c r="VR147" s="89"/>
      <c r="VS147" s="89"/>
      <c r="VT147" s="89"/>
      <c r="VU147" s="89"/>
      <c r="VV147" s="89"/>
      <c r="VW147" s="89"/>
      <c r="VX147" s="89"/>
      <c r="VY147" s="89"/>
      <c r="VZ147" s="89"/>
      <c r="WA147" s="89"/>
      <c r="WB147" s="89"/>
      <c r="WC147" s="89"/>
      <c r="WD147" s="89"/>
      <c r="WE147" s="89"/>
      <c r="WF147" s="89"/>
      <c r="WG147" s="89"/>
      <c r="WH147" s="89"/>
      <c r="WI147" s="89"/>
      <c r="WJ147" s="89"/>
      <c r="WK147" s="89"/>
      <c r="WL147" s="89"/>
      <c r="WM147" s="89"/>
      <c r="WN147" s="89"/>
      <c r="WO147" s="89"/>
      <c r="WP147" s="89"/>
      <c r="WQ147" s="89"/>
      <c r="WR147" s="89"/>
      <c r="WS147" s="89"/>
      <c r="WT147" s="89"/>
      <c r="WU147" s="89"/>
      <c r="WV147" s="89"/>
      <c r="WW147" s="89"/>
      <c r="WX147" s="89"/>
      <c r="WY147" s="89"/>
      <c r="WZ147" s="89"/>
      <c r="XA147" s="89"/>
      <c r="XB147" s="89"/>
      <c r="XC147" s="89"/>
      <c r="XD147" s="89"/>
      <c r="XE147" s="89"/>
      <c r="XF147" s="89"/>
      <c r="XG147" s="89"/>
      <c r="XH147" s="89"/>
      <c r="XI147" s="89"/>
      <c r="XJ147" s="89"/>
      <c r="XK147" s="89"/>
      <c r="XL147" s="89"/>
      <c r="XM147" s="89"/>
      <c r="XN147" s="89"/>
      <c r="XO147" s="89"/>
      <c r="XP147" s="89"/>
      <c r="XQ147" s="89"/>
      <c r="XR147" s="89"/>
      <c r="XS147" s="89"/>
      <c r="XT147" s="89"/>
      <c r="XU147" s="89"/>
      <c r="XV147" s="89"/>
      <c r="XW147" s="89"/>
      <c r="XX147" s="89"/>
      <c r="XY147" s="89"/>
      <c r="XZ147" s="89"/>
      <c r="YA147" s="89"/>
      <c r="YB147" s="89"/>
      <c r="YC147" s="89"/>
      <c r="YD147" s="89"/>
      <c r="YE147" s="89"/>
      <c r="YF147" s="89"/>
      <c r="YG147" s="89"/>
      <c r="YH147" s="89"/>
      <c r="YI147" s="89"/>
      <c r="YJ147" s="89"/>
      <c r="YK147" s="89"/>
      <c r="YL147" s="89"/>
      <c r="YM147" s="89"/>
      <c r="YN147" s="89"/>
      <c r="YO147" s="89"/>
      <c r="YP147" s="89"/>
      <c r="YQ147" s="89"/>
      <c r="YR147" s="89"/>
      <c r="YS147" s="89"/>
      <c r="YT147" s="89"/>
      <c r="YU147" s="89"/>
      <c r="YV147" s="89"/>
      <c r="YW147" s="89"/>
      <c r="YX147" s="89"/>
      <c r="YY147" s="89"/>
      <c r="YZ147" s="89"/>
      <c r="ZA147" s="89"/>
      <c r="ZB147" s="89"/>
      <c r="ZC147" s="89"/>
      <c r="ZD147" s="89"/>
      <c r="ZE147" s="89"/>
      <c r="ZF147" s="89"/>
      <c r="ZG147" s="89"/>
      <c r="ZH147" s="89"/>
      <c r="ZI147" s="89"/>
      <c r="ZJ147" s="89"/>
      <c r="ZK147" s="89"/>
      <c r="ZL147" s="89"/>
      <c r="ZM147" s="89"/>
      <c r="ZN147" s="89"/>
      <c r="ZO147" s="89"/>
      <c r="ZP147" s="89"/>
      <c r="ZQ147" s="89"/>
      <c r="ZR147" s="89"/>
      <c r="ZS147" s="89"/>
      <c r="ZT147" s="89"/>
      <c r="ZU147" s="89"/>
      <c r="ZV147" s="89"/>
      <c r="ZW147" s="89"/>
      <c r="ZX147" s="89"/>
      <c r="ZY147" s="89"/>
      <c r="ZZ147" s="89"/>
      <c r="AAA147" s="89"/>
      <c r="AAB147" s="89"/>
      <c r="AAC147" s="89"/>
      <c r="AAD147" s="89"/>
      <c r="AAE147" s="89"/>
      <c r="AAF147" s="89"/>
      <c r="AAG147" s="89"/>
      <c r="AAH147" s="89"/>
      <c r="AAI147" s="89"/>
      <c r="AAJ147" s="89"/>
      <c r="AAK147" s="89"/>
      <c r="AAL147" s="89"/>
      <c r="AAM147" s="89"/>
      <c r="AAN147" s="89"/>
      <c r="AAO147" s="89"/>
      <c r="AAP147" s="89"/>
      <c r="AAQ147" s="89"/>
      <c r="AAR147" s="89"/>
      <c r="AAS147" s="89"/>
      <c r="AAT147" s="89"/>
      <c r="AAU147" s="89"/>
      <c r="AAV147" s="89"/>
      <c r="AAW147" s="89"/>
      <c r="AAX147" s="89"/>
      <c r="AAY147" s="89"/>
      <c r="AAZ147" s="89"/>
      <c r="ABA147" s="89"/>
      <c r="ABB147" s="89"/>
      <c r="ABC147" s="89"/>
      <c r="ABD147" s="89"/>
      <c r="ABE147" s="89"/>
      <c r="ABF147" s="89"/>
      <c r="ABG147" s="89"/>
      <c r="ABH147" s="89"/>
      <c r="ABI147" s="89"/>
      <c r="ABJ147" s="89"/>
      <c r="ABK147" s="89"/>
      <c r="ABL147" s="89"/>
      <c r="ABM147" s="89"/>
      <c r="ABN147" s="89"/>
      <c r="ABO147" s="89"/>
      <c r="ABP147" s="89"/>
      <c r="ABQ147" s="89"/>
      <c r="ABR147" s="89"/>
      <c r="ABS147" s="89"/>
      <c r="ABT147" s="89"/>
      <c r="ABU147" s="89"/>
      <c r="ABV147" s="89"/>
      <c r="ABW147" s="89"/>
      <c r="ABX147" s="89"/>
      <c r="ABY147" s="89"/>
      <c r="ABZ147" s="89"/>
      <c r="ACA147" s="89"/>
      <c r="ACB147" s="89"/>
      <c r="ACC147" s="89"/>
      <c r="ACD147" s="89"/>
      <c r="ACE147" s="89"/>
      <c r="ACF147" s="89"/>
      <c r="ACG147" s="89"/>
      <c r="ACH147" s="89"/>
      <c r="ACI147" s="89"/>
      <c r="ACJ147" s="89"/>
      <c r="ACK147" s="89"/>
      <c r="ACL147" s="89"/>
      <c r="ACM147" s="89"/>
      <c r="ACN147" s="89"/>
      <c r="ACO147" s="89"/>
      <c r="ACP147" s="89"/>
      <c r="ACQ147" s="89"/>
      <c r="ACR147" s="89"/>
      <c r="ACS147" s="89"/>
      <c r="ACT147" s="89"/>
      <c r="ACU147" s="89"/>
      <c r="ACV147" s="89"/>
      <c r="ACW147" s="89"/>
      <c r="ACX147" s="89"/>
      <c r="ACY147" s="89"/>
      <c r="ACZ147" s="89"/>
      <c r="ADA147" s="89"/>
      <c r="ADB147" s="89"/>
      <c r="ADC147" s="89"/>
      <c r="ADD147" s="89"/>
      <c r="ADE147" s="89"/>
      <c r="ADF147" s="89"/>
      <c r="ADG147" s="89"/>
      <c r="ADH147" s="89"/>
      <c r="ADI147" s="89"/>
      <c r="ADJ147" s="89"/>
      <c r="ADK147" s="89"/>
      <c r="ADL147" s="89"/>
      <c r="ADM147" s="89"/>
      <c r="ADN147" s="89"/>
      <c r="ADO147" s="89"/>
      <c r="ADP147" s="89"/>
      <c r="ADQ147" s="89"/>
      <c r="ADR147" s="89"/>
      <c r="ADS147" s="89"/>
      <c r="ADT147" s="89"/>
      <c r="ADU147" s="89"/>
      <c r="ADV147" s="89"/>
      <c r="ADW147" s="89"/>
      <c r="ADX147" s="89"/>
      <c r="ADY147" s="89"/>
      <c r="ADZ147" s="89"/>
      <c r="AEA147" s="89"/>
      <c r="AEB147" s="89"/>
      <c r="AEC147" s="89"/>
      <c r="AED147" s="89"/>
      <c r="AEE147" s="89"/>
      <c r="AEF147" s="89"/>
      <c r="AEG147" s="89"/>
      <c r="AEH147" s="89"/>
      <c r="AEI147" s="89"/>
      <c r="AEJ147" s="89"/>
      <c r="AEK147" s="89"/>
      <c r="AEL147" s="89"/>
      <c r="AEM147" s="89"/>
      <c r="AEN147" s="89"/>
      <c r="AEO147" s="89"/>
      <c r="AEP147" s="89"/>
      <c r="AEQ147" s="89"/>
      <c r="AER147" s="89"/>
      <c r="AES147" s="89"/>
      <c r="AET147" s="89"/>
      <c r="AEU147" s="89"/>
      <c r="AEV147" s="89"/>
      <c r="AEW147" s="89"/>
      <c r="AEX147" s="89"/>
      <c r="AEY147" s="89"/>
      <c r="AEZ147" s="89"/>
      <c r="AFA147" s="89"/>
      <c r="AFB147" s="89"/>
      <c r="AFC147" s="89"/>
      <c r="AFD147" s="89"/>
      <c r="AFE147" s="89"/>
      <c r="AFF147" s="89"/>
      <c r="AFG147" s="89"/>
      <c r="AFH147" s="89"/>
      <c r="AFI147" s="89"/>
      <c r="AFJ147" s="89"/>
      <c r="AFK147" s="89"/>
      <c r="AFL147" s="89"/>
      <c r="AFM147" s="89"/>
      <c r="AFN147" s="89"/>
      <c r="AFO147" s="89"/>
      <c r="AFP147" s="89"/>
      <c r="AFQ147" s="89"/>
      <c r="AFR147" s="89"/>
      <c r="AFS147" s="89"/>
      <c r="AFT147" s="89"/>
      <c r="AFU147" s="89"/>
      <c r="AFV147" s="89"/>
      <c r="AFW147" s="89"/>
      <c r="AFX147" s="89"/>
      <c r="AFY147" s="89"/>
      <c r="AFZ147" s="89"/>
      <c r="AGA147" s="89"/>
      <c r="AGB147" s="89"/>
      <c r="AGC147" s="89"/>
      <c r="AGD147" s="89"/>
      <c r="AGE147" s="89"/>
      <c r="AGF147" s="89"/>
      <c r="AGG147" s="89"/>
      <c r="AGH147" s="89"/>
      <c r="AGI147" s="89"/>
      <c r="AGJ147" s="89"/>
      <c r="AGK147" s="89"/>
      <c r="AGL147" s="89"/>
      <c r="AGM147" s="89"/>
      <c r="AGN147" s="89"/>
      <c r="AGO147" s="89"/>
      <c r="AGP147" s="89"/>
      <c r="AGQ147" s="89"/>
      <c r="AGR147" s="89"/>
      <c r="AGS147" s="89"/>
      <c r="AGT147" s="89"/>
      <c r="AGU147" s="89"/>
      <c r="AGV147" s="89"/>
      <c r="AGW147" s="89"/>
      <c r="AGX147" s="89"/>
      <c r="AGY147" s="89"/>
      <c r="AGZ147" s="89"/>
      <c r="AHA147" s="89"/>
      <c r="AHB147" s="89"/>
      <c r="AHC147" s="89"/>
      <c r="AHD147" s="89"/>
      <c r="AHE147" s="89"/>
      <c r="AHF147" s="89"/>
      <c r="AHG147" s="89"/>
      <c r="AHH147" s="89"/>
      <c r="AHI147" s="89"/>
      <c r="AHJ147" s="89"/>
      <c r="AHK147" s="89"/>
      <c r="AHL147" s="89"/>
      <c r="AHM147" s="89"/>
      <c r="AHN147" s="89"/>
      <c r="AHO147" s="89"/>
      <c r="AHP147" s="89"/>
      <c r="AHQ147" s="89"/>
      <c r="AHR147" s="89"/>
      <c r="AHS147" s="89"/>
      <c r="AHT147" s="89"/>
      <c r="AHU147" s="89"/>
      <c r="AHV147" s="89"/>
      <c r="AHW147" s="89"/>
      <c r="AHX147" s="89"/>
      <c r="AHY147" s="89"/>
      <c r="AHZ147" s="89"/>
      <c r="AIA147" s="89"/>
      <c r="AIB147" s="89"/>
      <c r="AIC147" s="89"/>
      <c r="AID147" s="89"/>
      <c r="AIE147" s="89"/>
      <c r="AIF147" s="89"/>
      <c r="AIG147" s="89"/>
      <c r="AIH147" s="89"/>
      <c r="AII147" s="89"/>
      <c r="AIJ147" s="89"/>
      <c r="AIK147" s="89"/>
      <c r="AIL147" s="89"/>
      <c r="AIM147" s="89"/>
      <c r="AIN147" s="89"/>
      <c r="AIO147" s="89"/>
      <c r="AIP147" s="89"/>
      <c r="AIQ147" s="89"/>
      <c r="AIR147" s="89"/>
      <c r="AIS147" s="89"/>
      <c r="AIT147" s="89"/>
      <c r="AIU147" s="89"/>
      <c r="AIV147" s="89"/>
      <c r="AIW147" s="89"/>
      <c r="AIX147" s="89"/>
      <c r="AIY147" s="89"/>
      <c r="AIZ147" s="89"/>
      <c r="AJA147" s="89"/>
      <c r="AJB147" s="89"/>
      <c r="AJC147" s="89"/>
      <c r="AJD147" s="89"/>
      <c r="AJE147" s="89"/>
      <c r="AJF147" s="89"/>
      <c r="AJG147" s="89"/>
      <c r="AJH147" s="89"/>
      <c r="AJI147" s="89"/>
      <c r="AJJ147" s="89"/>
      <c r="AJK147" s="89"/>
      <c r="AJL147" s="89"/>
      <c r="AJM147" s="89"/>
      <c r="AJN147" s="89"/>
      <c r="AJO147" s="89"/>
      <c r="AJP147" s="89"/>
      <c r="AJQ147" s="89"/>
      <c r="AJR147" s="89"/>
      <c r="AJS147" s="89"/>
      <c r="AJT147" s="89"/>
      <c r="AJU147" s="89"/>
      <c r="AJV147" s="89"/>
      <c r="AJW147" s="89"/>
      <c r="AJX147" s="89"/>
      <c r="AJY147" s="89"/>
      <c r="AJZ147" s="89"/>
      <c r="AKA147" s="89"/>
      <c r="AKB147" s="89"/>
      <c r="AKC147" s="89"/>
      <c r="AKD147" s="89"/>
      <c r="AKE147" s="89"/>
      <c r="AKF147" s="89"/>
      <c r="AKG147" s="89"/>
      <c r="AKH147" s="89"/>
      <c r="AKI147" s="89"/>
      <c r="AKJ147" s="89"/>
      <c r="AKK147" s="89"/>
      <c r="AKL147" s="89"/>
      <c r="AKM147" s="89"/>
      <c r="AKN147" s="89"/>
      <c r="AKO147" s="89"/>
      <c r="AKP147" s="89"/>
      <c r="AKQ147" s="89"/>
      <c r="AKR147" s="89"/>
      <c r="AKS147" s="89"/>
      <c r="AKT147" s="89"/>
      <c r="AKU147" s="89"/>
      <c r="AKV147" s="89"/>
      <c r="AKW147" s="89"/>
      <c r="AKX147" s="89"/>
      <c r="AKY147" s="89"/>
      <c r="AKZ147" s="89"/>
      <c r="ALA147" s="89"/>
      <c r="ALB147" s="89"/>
      <c r="ALC147" s="89"/>
      <c r="ALD147" s="89"/>
      <c r="ALE147" s="89"/>
      <c r="ALF147" s="89"/>
      <c r="ALG147" s="89"/>
      <c r="ALH147" s="89"/>
      <c r="ALI147" s="89"/>
      <c r="ALJ147" s="89"/>
      <c r="ALK147" s="89"/>
      <c r="ALL147" s="89"/>
      <c r="ALM147" s="89"/>
      <c r="ALN147" s="89"/>
      <c r="ALO147" s="89"/>
      <c r="ALP147" s="89"/>
      <c r="ALQ147" s="89"/>
      <c r="ALR147" s="89"/>
      <c r="ALS147" s="89"/>
      <c r="ALT147" s="89"/>
      <c r="ALU147" s="89"/>
      <c r="ALV147" s="89"/>
      <c r="ALW147" s="89"/>
      <c r="ALX147" s="89"/>
      <c r="ALY147" s="89"/>
      <c r="ALZ147" s="89"/>
      <c r="AMA147" s="89"/>
      <c r="AMB147" s="89"/>
      <c r="AMC147" s="89"/>
      <c r="AMD147" s="89"/>
      <c r="AME147" s="89"/>
      <c r="AMF147" s="89"/>
      <c r="AMG147" s="89"/>
      <c r="AMH147" s="89"/>
      <c r="AMI147" s="89"/>
      <c r="AMJ147" s="89"/>
      <c r="AMK147" s="89"/>
      <c r="AML147" s="89"/>
      <c r="AMM147" s="89"/>
      <c r="AMN147" s="89"/>
      <c r="AMO147" s="89"/>
    </row>
    <row r="148" spans="2:1029">
      <c r="B148" s="89"/>
      <c r="C148" s="89"/>
      <c r="D148" s="89"/>
      <c r="E148" s="173"/>
      <c r="F148" s="89"/>
      <c r="G148" s="173"/>
      <c r="H148" s="89"/>
      <c r="I148" s="89"/>
      <c r="J148" s="89"/>
      <c r="K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  <c r="EO148" s="89"/>
      <c r="EP148" s="89"/>
      <c r="EQ148" s="89"/>
      <c r="ER148" s="89"/>
      <c r="ES148" s="89"/>
      <c r="ET148" s="89"/>
      <c r="EU148" s="89"/>
      <c r="EV148" s="89"/>
      <c r="EW148" s="89"/>
      <c r="EX148" s="89"/>
      <c r="EY148" s="89"/>
      <c r="EZ148" s="89"/>
      <c r="FA148" s="89"/>
      <c r="FB148" s="89"/>
      <c r="FC148" s="89"/>
      <c r="FD148" s="89"/>
      <c r="FE148" s="89"/>
      <c r="FF148" s="89"/>
      <c r="FG148" s="89"/>
      <c r="FH148" s="89"/>
      <c r="FI148" s="89"/>
      <c r="FJ148" s="89"/>
      <c r="FK148" s="89"/>
      <c r="FL148" s="89"/>
      <c r="FM148" s="89"/>
      <c r="FN148" s="89"/>
      <c r="FO148" s="89"/>
      <c r="FP148" s="89"/>
      <c r="FQ148" s="89"/>
      <c r="FR148" s="89"/>
      <c r="FS148" s="89"/>
      <c r="FT148" s="89"/>
      <c r="FU148" s="89"/>
      <c r="FV148" s="89"/>
      <c r="FW148" s="89"/>
      <c r="FX148" s="89"/>
      <c r="FY148" s="89"/>
      <c r="FZ148" s="89"/>
      <c r="GA148" s="89"/>
      <c r="GB148" s="89"/>
      <c r="GC148" s="89"/>
      <c r="GD148" s="89"/>
      <c r="GE148" s="89"/>
      <c r="GF148" s="89"/>
      <c r="GG148" s="89"/>
      <c r="GH148" s="89"/>
      <c r="GI148" s="89"/>
      <c r="GJ148" s="89"/>
      <c r="GK148" s="89"/>
      <c r="GL148" s="89"/>
      <c r="GM148" s="89"/>
      <c r="GN148" s="89"/>
      <c r="GO148" s="89"/>
      <c r="GP148" s="89"/>
      <c r="GQ148" s="89"/>
      <c r="GR148" s="89"/>
      <c r="GS148" s="89"/>
      <c r="GT148" s="89"/>
      <c r="GU148" s="89"/>
      <c r="GV148" s="89"/>
      <c r="GW148" s="89"/>
      <c r="GX148" s="89"/>
      <c r="GY148" s="89"/>
      <c r="GZ148" s="89"/>
      <c r="HA148" s="89"/>
      <c r="HB148" s="89"/>
      <c r="HC148" s="89"/>
      <c r="HD148" s="89"/>
      <c r="HE148" s="89"/>
      <c r="HF148" s="89"/>
      <c r="HG148" s="89"/>
      <c r="HH148" s="89"/>
      <c r="HI148" s="89"/>
      <c r="HJ148" s="89"/>
      <c r="HK148" s="89"/>
      <c r="HL148" s="89"/>
      <c r="HM148" s="89"/>
      <c r="HN148" s="89"/>
      <c r="HO148" s="89"/>
      <c r="HP148" s="89"/>
      <c r="HQ148" s="89"/>
      <c r="HR148" s="89"/>
      <c r="HS148" s="89"/>
      <c r="HT148" s="89"/>
      <c r="HU148" s="89"/>
      <c r="HV148" s="89"/>
      <c r="HW148" s="89"/>
      <c r="HX148" s="89"/>
      <c r="HY148" s="89"/>
      <c r="HZ148" s="89"/>
      <c r="IA148" s="89"/>
      <c r="IB148" s="89"/>
      <c r="IC148" s="89"/>
      <c r="ID148" s="89"/>
      <c r="IE148" s="89"/>
      <c r="IF148" s="89"/>
      <c r="IG148" s="89"/>
      <c r="IH148" s="89"/>
      <c r="II148" s="89"/>
      <c r="IJ148" s="89"/>
      <c r="IK148" s="89"/>
      <c r="IL148" s="89"/>
      <c r="IM148" s="89"/>
      <c r="IN148" s="89"/>
      <c r="IO148" s="89"/>
      <c r="IP148" s="89"/>
      <c r="IQ148" s="89"/>
      <c r="IR148" s="89"/>
      <c r="IS148" s="89"/>
      <c r="IT148" s="89"/>
      <c r="IU148" s="89"/>
      <c r="IV148" s="89"/>
      <c r="IW148" s="89"/>
      <c r="IX148" s="89"/>
      <c r="IY148" s="89"/>
      <c r="IZ148" s="89"/>
      <c r="JA148" s="89"/>
      <c r="JB148" s="89"/>
      <c r="JC148" s="89"/>
      <c r="JD148" s="89"/>
      <c r="JE148" s="89"/>
      <c r="JF148" s="89"/>
      <c r="JG148" s="89"/>
      <c r="JH148" s="89"/>
      <c r="JI148" s="89"/>
      <c r="JJ148" s="89"/>
      <c r="JK148" s="89"/>
      <c r="JL148" s="89"/>
      <c r="JM148" s="89"/>
      <c r="JN148" s="89"/>
      <c r="JO148" s="89"/>
      <c r="JP148" s="89"/>
      <c r="JQ148" s="89"/>
      <c r="JR148" s="89"/>
      <c r="JS148" s="89"/>
      <c r="JT148" s="89"/>
      <c r="JU148" s="89"/>
      <c r="JV148" s="89"/>
      <c r="JW148" s="89"/>
      <c r="JX148" s="89"/>
      <c r="JY148" s="89"/>
      <c r="JZ148" s="89"/>
      <c r="KA148" s="89"/>
      <c r="KB148" s="89"/>
      <c r="KC148" s="89"/>
      <c r="KD148" s="89"/>
      <c r="KE148" s="89"/>
      <c r="KF148" s="89"/>
      <c r="KG148" s="89"/>
      <c r="KH148" s="89"/>
      <c r="KI148" s="89"/>
      <c r="KJ148" s="89"/>
      <c r="KK148" s="89"/>
      <c r="KL148" s="89"/>
      <c r="KM148" s="89"/>
      <c r="KN148" s="89"/>
      <c r="KO148" s="89"/>
      <c r="KP148" s="89"/>
      <c r="KQ148" s="89"/>
      <c r="KR148" s="89"/>
      <c r="KS148" s="89"/>
      <c r="KT148" s="89"/>
      <c r="KU148" s="89"/>
      <c r="KV148" s="89"/>
      <c r="KW148" s="89"/>
      <c r="KX148" s="89"/>
      <c r="KY148" s="89"/>
      <c r="KZ148" s="89"/>
      <c r="LA148" s="89"/>
      <c r="LB148" s="89"/>
      <c r="LC148" s="89"/>
      <c r="LD148" s="89"/>
      <c r="LE148" s="89"/>
      <c r="LF148" s="89"/>
      <c r="LG148" s="89"/>
      <c r="LH148" s="89"/>
      <c r="LI148" s="89"/>
      <c r="LJ148" s="89"/>
      <c r="LK148" s="89"/>
      <c r="LL148" s="89"/>
      <c r="LM148" s="89"/>
      <c r="LN148" s="89"/>
      <c r="LO148" s="89"/>
      <c r="LP148" s="89"/>
      <c r="LQ148" s="89"/>
      <c r="LR148" s="89"/>
      <c r="LS148" s="89"/>
      <c r="LT148" s="89"/>
      <c r="LU148" s="89"/>
      <c r="LV148" s="89"/>
      <c r="LW148" s="89"/>
      <c r="LX148" s="89"/>
      <c r="LY148" s="89"/>
      <c r="LZ148" s="89"/>
      <c r="MA148" s="89"/>
      <c r="MB148" s="89"/>
      <c r="MC148" s="89"/>
      <c r="MD148" s="89"/>
      <c r="ME148" s="89"/>
      <c r="MF148" s="89"/>
      <c r="MG148" s="89"/>
      <c r="MH148" s="89"/>
      <c r="MI148" s="89"/>
      <c r="MJ148" s="89"/>
      <c r="MK148" s="89"/>
      <c r="ML148" s="89"/>
      <c r="MM148" s="89"/>
      <c r="MN148" s="89"/>
      <c r="MO148" s="89"/>
      <c r="MP148" s="89"/>
      <c r="MQ148" s="89"/>
      <c r="MR148" s="89"/>
      <c r="MS148" s="89"/>
      <c r="MT148" s="89"/>
      <c r="MU148" s="89"/>
      <c r="MV148" s="89"/>
      <c r="MW148" s="89"/>
      <c r="MX148" s="89"/>
      <c r="MY148" s="89"/>
      <c r="MZ148" s="89"/>
      <c r="NA148" s="89"/>
      <c r="NB148" s="89"/>
      <c r="NC148" s="89"/>
      <c r="ND148" s="89"/>
      <c r="NE148" s="89"/>
      <c r="NF148" s="89"/>
      <c r="NG148" s="89"/>
      <c r="NH148" s="89"/>
      <c r="NI148" s="89"/>
      <c r="NJ148" s="89"/>
      <c r="NK148" s="89"/>
      <c r="NL148" s="89"/>
      <c r="NM148" s="89"/>
      <c r="NN148" s="89"/>
      <c r="NO148" s="89"/>
      <c r="NP148" s="89"/>
      <c r="NQ148" s="89"/>
      <c r="NR148" s="89"/>
      <c r="NS148" s="89"/>
      <c r="NT148" s="89"/>
      <c r="NU148" s="89"/>
      <c r="NV148" s="89"/>
      <c r="NW148" s="89"/>
      <c r="NX148" s="89"/>
      <c r="NY148" s="89"/>
      <c r="NZ148" s="89"/>
      <c r="OA148" s="89"/>
      <c r="OB148" s="89"/>
      <c r="OC148" s="89"/>
      <c r="OD148" s="89"/>
      <c r="OE148" s="89"/>
      <c r="OF148" s="89"/>
      <c r="OG148" s="89"/>
      <c r="OH148" s="89"/>
      <c r="OI148" s="89"/>
      <c r="OJ148" s="89"/>
      <c r="OK148" s="89"/>
      <c r="OL148" s="89"/>
      <c r="OM148" s="89"/>
      <c r="ON148" s="89"/>
      <c r="OO148" s="89"/>
      <c r="OP148" s="89"/>
      <c r="OQ148" s="89"/>
      <c r="OR148" s="89"/>
      <c r="OS148" s="89"/>
      <c r="OT148" s="89"/>
      <c r="OU148" s="89"/>
      <c r="OV148" s="89"/>
      <c r="OW148" s="89"/>
      <c r="OX148" s="89"/>
      <c r="OY148" s="89"/>
      <c r="OZ148" s="89"/>
      <c r="PA148" s="89"/>
      <c r="PB148" s="89"/>
      <c r="PC148" s="89"/>
      <c r="PD148" s="89"/>
      <c r="PE148" s="89"/>
      <c r="PF148" s="89"/>
      <c r="PG148" s="89"/>
      <c r="PH148" s="89"/>
      <c r="PI148" s="89"/>
      <c r="PJ148" s="89"/>
      <c r="PK148" s="89"/>
      <c r="PL148" s="89"/>
      <c r="PM148" s="89"/>
      <c r="PN148" s="89"/>
      <c r="PO148" s="89"/>
      <c r="PP148" s="89"/>
      <c r="PQ148" s="89"/>
      <c r="PR148" s="89"/>
      <c r="PS148" s="89"/>
      <c r="PT148" s="89"/>
      <c r="PU148" s="89"/>
      <c r="PV148" s="89"/>
      <c r="PW148" s="89"/>
      <c r="PX148" s="89"/>
      <c r="PY148" s="89"/>
      <c r="PZ148" s="89"/>
      <c r="QA148" s="89"/>
      <c r="QB148" s="89"/>
      <c r="QC148" s="89"/>
      <c r="QD148" s="89"/>
      <c r="QE148" s="89"/>
      <c r="QF148" s="89"/>
      <c r="QG148" s="89"/>
      <c r="QH148" s="89"/>
      <c r="QI148" s="89"/>
      <c r="QJ148" s="89"/>
      <c r="QK148" s="89"/>
      <c r="QL148" s="89"/>
      <c r="QM148" s="89"/>
      <c r="QN148" s="89"/>
      <c r="QO148" s="89"/>
      <c r="QP148" s="89"/>
      <c r="QQ148" s="89"/>
      <c r="QR148" s="89"/>
      <c r="QS148" s="89"/>
      <c r="QT148" s="89"/>
      <c r="QU148" s="89"/>
      <c r="QV148" s="89"/>
      <c r="QW148" s="89"/>
      <c r="QX148" s="89"/>
      <c r="QY148" s="89"/>
      <c r="QZ148" s="89"/>
      <c r="RA148" s="89"/>
      <c r="RB148" s="89"/>
      <c r="RC148" s="89"/>
      <c r="RD148" s="89"/>
      <c r="RE148" s="89"/>
      <c r="RF148" s="89"/>
      <c r="RG148" s="89"/>
      <c r="RH148" s="89"/>
      <c r="RI148" s="89"/>
      <c r="RJ148" s="89"/>
      <c r="RK148" s="89"/>
      <c r="RL148" s="89"/>
      <c r="RM148" s="89"/>
      <c r="RN148" s="89"/>
      <c r="RO148" s="89"/>
      <c r="RP148" s="89"/>
      <c r="RQ148" s="89"/>
      <c r="RR148" s="89"/>
      <c r="RS148" s="89"/>
      <c r="RT148" s="89"/>
      <c r="RU148" s="89"/>
      <c r="RV148" s="89"/>
      <c r="RW148" s="89"/>
      <c r="RX148" s="89"/>
      <c r="RY148" s="89"/>
      <c r="RZ148" s="89"/>
      <c r="SA148" s="89"/>
      <c r="SB148" s="89"/>
      <c r="SC148" s="89"/>
      <c r="SD148" s="89"/>
      <c r="SE148" s="89"/>
      <c r="SF148" s="89"/>
      <c r="SG148" s="89"/>
      <c r="SH148" s="89"/>
      <c r="SI148" s="89"/>
      <c r="SJ148" s="89"/>
      <c r="SK148" s="89"/>
      <c r="SL148" s="89"/>
      <c r="SM148" s="89"/>
      <c r="SN148" s="89"/>
      <c r="SO148" s="89"/>
      <c r="SP148" s="89"/>
      <c r="SQ148" s="89"/>
      <c r="SR148" s="89"/>
      <c r="SS148" s="89"/>
      <c r="ST148" s="89"/>
      <c r="SU148" s="89"/>
      <c r="SV148" s="89"/>
      <c r="SW148" s="89"/>
      <c r="SX148" s="89"/>
      <c r="SY148" s="89"/>
      <c r="SZ148" s="89"/>
      <c r="TA148" s="89"/>
      <c r="TB148" s="89"/>
      <c r="TC148" s="89"/>
      <c r="TD148" s="89"/>
      <c r="TE148" s="89"/>
      <c r="TF148" s="89"/>
      <c r="TG148" s="89"/>
      <c r="TH148" s="89"/>
      <c r="TI148" s="89"/>
      <c r="TJ148" s="89"/>
      <c r="TK148" s="89"/>
      <c r="TL148" s="89"/>
      <c r="TM148" s="89"/>
      <c r="TN148" s="89"/>
      <c r="TO148" s="89"/>
      <c r="TP148" s="89"/>
      <c r="TQ148" s="89"/>
      <c r="TR148" s="89"/>
      <c r="TS148" s="89"/>
      <c r="TT148" s="89"/>
      <c r="TU148" s="89"/>
      <c r="TV148" s="89"/>
      <c r="TW148" s="89"/>
      <c r="TX148" s="89"/>
      <c r="TY148" s="89"/>
      <c r="TZ148" s="89"/>
      <c r="UA148" s="89"/>
      <c r="UB148" s="89"/>
      <c r="UC148" s="89"/>
      <c r="UD148" s="89"/>
      <c r="UE148" s="89"/>
      <c r="UF148" s="89"/>
      <c r="UG148" s="89"/>
      <c r="UH148" s="89"/>
      <c r="UI148" s="89"/>
      <c r="UJ148" s="89"/>
      <c r="UK148" s="89"/>
      <c r="UL148" s="89"/>
      <c r="UM148" s="89"/>
      <c r="UN148" s="89"/>
      <c r="UO148" s="89"/>
      <c r="UP148" s="89"/>
      <c r="UQ148" s="89"/>
      <c r="UR148" s="89"/>
      <c r="US148" s="89"/>
      <c r="UT148" s="89"/>
      <c r="UU148" s="89"/>
      <c r="UV148" s="89"/>
      <c r="UW148" s="89"/>
      <c r="UX148" s="89"/>
      <c r="UY148" s="89"/>
      <c r="UZ148" s="89"/>
      <c r="VA148" s="89"/>
      <c r="VB148" s="89"/>
      <c r="VC148" s="89"/>
      <c r="VD148" s="89"/>
      <c r="VE148" s="89"/>
      <c r="VF148" s="89"/>
      <c r="VG148" s="89"/>
      <c r="VH148" s="89"/>
      <c r="VI148" s="89"/>
      <c r="VJ148" s="89"/>
      <c r="VK148" s="89"/>
      <c r="VL148" s="89"/>
      <c r="VM148" s="89"/>
      <c r="VN148" s="89"/>
      <c r="VO148" s="89"/>
      <c r="VP148" s="89"/>
      <c r="VQ148" s="89"/>
      <c r="VR148" s="89"/>
      <c r="VS148" s="89"/>
      <c r="VT148" s="89"/>
      <c r="VU148" s="89"/>
      <c r="VV148" s="89"/>
      <c r="VW148" s="89"/>
      <c r="VX148" s="89"/>
      <c r="VY148" s="89"/>
      <c r="VZ148" s="89"/>
      <c r="WA148" s="89"/>
      <c r="WB148" s="89"/>
      <c r="WC148" s="89"/>
      <c r="WD148" s="89"/>
      <c r="WE148" s="89"/>
      <c r="WF148" s="89"/>
      <c r="WG148" s="89"/>
      <c r="WH148" s="89"/>
      <c r="WI148" s="89"/>
      <c r="WJ148" s="89"/>
      <c r="WK148" s="89"/>
      <c r="WL148" s="89"/>
      <c r="WM148" s="89"/>
      <c r="WN148" s="89"/>
      <c r="WO148" s="89"/>
      <c r="WP148" s="89"/>
      <c r="WQ148" s="89"/>
      <c r="WR148" s="89"/>
      <c r="WS148" s="89"/>
      <c r="WT148" s="89"/>
      <c r="WU148" s="89"/>
      <c r="WV148" s="89"/>
      <c r="WW148" s="89"/>
      <c r="WX148" s="89"/>
      <c r="WY148" s="89"/>
      <c r="WZ148" s="89"/>
      <c r="XA148" s="89"/>
      <c r="XB148" s="89"/>
      <c r="XC148" s="89"/>
      <c r="XD148" s="89"/>
      <c r="XE148" s="89"/>
      <c r="XF148" s="89"/>
      <c r="XG148" s="89"/>
      <c r="XH148" s="89"/>
      <c r="XI148" s="89"/>
      <c r="XJ148" s="89"/>
      <c r="XK148" s="89"/>
      <c r="XL148" s="89"/>
      <c r="XM148" s="89"/>
      <c r="XN148" s="89"/>
      <c r="XO148" s="89"/>
      <c r="XP148" s="89"/>
      <c r="XQ148" s="89"/>
      <c r="XR148" s="89"/>
      <c r="XS148" s="89"/>
      <c r="XT148" s="89"/>
      <c r="XU148" s="89"/>
      <c r="XV148" s="89"/>
      <c r="XW148" s="89"/>
      <c r="XX148" s="89"/>
      <c r="XY148" s="89"/>
      <c r="XZ148" s="89"/>
      <c r="YA148" s="89"/>
      <c r="YB148" s="89"/>
      <c r="YC148" s="89"/>
      <c r="YD148" s="89"/>
      <c r="YE148" s="89"/>
      <c r="YF148" s="89"/>
      <c r="YG148" s="89"/>
      <c r="YH148" s="89"/>
      <c r="YI148" s="89"/>
      <c r="YJ148" s="89"/>
      <c r="YK148" s="89"/>
      <c r="YL148" s="89"/>
      <c r="YM148" s="89"/>
      <c r="YN148" s="89"/>
      <c r="YO148" s="89"/>
      <c r="YP148" s="89"/>
      <c r="YQ148" s="89"/>
      <c r="YR148" s="89"/>
      <c r="YS148" s="89"/>
      <c r="YT148" s="89"/>
      <c r="YU148" s="89"/>
      <c r="YV148" s="89"/>
      <c r="YW148" s="89"/>
      <c r="YX148" s="89"/>
      <c r="YY148" s="89"/>
      <c r="YZ148" s="89"/>
      <c r="ZA148" s="89"/>
      <c r="ZB148" s="89"/>
      <c r="ZC148" s="89"/>
      <c r="ZD148" s="89"/>
      <c r="ZE148" s="89"/>
      <c r="ZF148" s="89"/>
      <c r="ZG148" s="89"/>
      <c r="ZH148" s="89"/>
      <c r="ZI148" s="89"/>
      <c r="ZJ148" s="89"/>
      <c r="ZK148" s="89"/>
      <c r="ZL148" s="89"/>
      <c r="ZM148" s="89"/>
      <c r="ZN148" s="89"/>
      <c r="ZO148" s="89"/>
      <c r="ZP148" s="89"/>
      <c r="ZQ148" s="89"/>
      <c r="ZR148" s="89"/>
      <c r="ZS148" s="89"/>
      <c r="ZT148" s="89"/>
      <c r="ZU148" s="89"/>
      <c r="ZV148" s="89"/>
      <c r="ZW148" s="89"/>
      <c r="ZX148" s="89"/>
      <c r="ZY148" s="89"/>
      <c r="ZZ148" s="89"/>
      <c r="AAA148" s="89"/>
      <c r="AAB148" s="89"/>
      <c r="AAC148" s="89"/>
      <c r="AAD148" s="89"/>
      <c r="AAE148" s="89"/>
      <c r="AAF148" s="89"/>
      <c r="AAG148" s="89"/>
      <c r="AAH148" s="89"/>
      <c r="AAI148" s="89"/>
      <c r="AAJ148" s="89"/>
      <c r="AAK148" s="89"/>
      <c r="AAL148" s="89"/>
      <c r="AAM148" s="89"/>
      <c r="AAN148" s="89"/>
      <c r="AAO148" s="89"/>
      <c r="AAP148" s="89"/>
      <c r="AAQ148" s="89"/>
      <c r="AAR148" s="89"/>
      <c r="AAS148" s="89"/>
      <c r="AAT148" s="89"/>
      <c r="AAU148" s="89"/>
      <c r="AAV148" s="89"/>
      <c r="AAW148" s="89"/>
      <c r="AAX148" s="89"/>
      <c r="AAY148" s="89"/>
      <c r="AAZ148" s="89"/>
      <c r="ABA148" s="89"/>
      <c r="ABB148" s="89"/>
      <c r="ABC148" s="89"/>
      <c r="ABD148" s="89"/>
      <c r="ABE148" s="89"/>
      <c r="ABF148" s="89"/>
      <c r="ABG148" s="89"/>
      <c r="ABH148" s="89"/>
      <c r="ABI148" s="89"/>
      <c r="ABJ148" s="89"/>
      <c r="ABK148" s="89"/>
      <c r="ABL148" s="89"/>
      <c r="ABM148" s="89"/>
      <c r="ABN148" s="89"/>
      <c r="ABO148" s="89"/>
      <c r="ABP148" s="89"/>
      <c r="ABQ148" s="89"/>
      <c r="ABR148" s="89"/>
      <c r="ABS148" s="89"/>
      <c r="ABT148" s="89"/>
      <c r="ABU148" s="89"/>
      <c r="ABV148" s="89"/>
      <c r="ABW148" s="89"/>
      <c r="ABX148" s="89"/>
      <c r="ABY148" s="89"/>
      <c r="ABZ148" s="89"/>
      <c r="ACA148" s="89"/>
      <c r="ACB148" s="89"/>
      <c r="ACC148" s="89"/>
      <c r="ACD148" s="89"/>
      <c r="ACE148" s="89"/>
      <c r="ACF148" s="89"/>
      <c r="ACG148" s="89"/>
      <c r="ACH148" s="89"/>
      <c r="ACI148" s="89"/>
      <c r="ACJ148" s="89"/>
      <c r="ACK148" s="89"/>
      <c r="ACL148" s="89"/>
      <c r="ACM148" s="89"/>
      <c r="ACN148" s="89"/>
      <c r="ACO148" s="89"/>
      <c r="ACP148" s="89"/>
      <c r="ACQ148" s="89"/>
      <c r="ACR148" s="89"/>
      <c r="ACS148" s="89"/>
      <c r="ACT148" s="89"/>
      <c r="ACU148" s="89"/>
      <c r="ACV148" s="89"/>
      <c r="ACW148" s="89"/>
      <c r="ACX148" s="89"/>
      <c r="ACY148" s="89"/>
      <c r="ACZ148" s="89"/>
      <c r="ADA148" s="89"/>
      <c r="ADB148" s="89"/>
      <c r="ADC148" s="89"/>
      <c r="ADD148" s="89"/>
      <c r="ADE148" s="89"/>
      <c r="ADF148" s="89"/>
      <c r="ADG148" s="89"/>
      <c r="ADH148" s="89"/>
      <c r="ADI148" s="89"/>
      <c r="ADJ148" s="89"/>
      <c r="ADK148" s="89"/>
      <c r="ADL148" s="89"/>
      <c r="ADM148" s="89"/>
      <c r="ADN148" s="89"/>
      <c r="ADO148" s="89"/>
      <c r="ADP148" s="89"/>
      <c r="ADQ148" s="89"/>
      <c r="ADR148" s="89"/>
      <c r="ADS148" s="89"/>
      <c r="ADT148" s="89"/>
      <c r="ADU148" s="89"/>
      <c r="ADV148" s="89"/>
      <c r="ADW148" s="89"/>
      <c r="ADX148" s="89"/>
      <c r="ADY148" s="89"/>
      <c r="ADZ148" s="89"/>
      <c r="AEA148" s="89"/>
      <c r="AEB148" s="89"/>
      <c r="AEC148" s="89"/>
      <c r="AED148" s="89"/>
      <c r="AEE148" s="89"/>
      <c r="AEF148" s="89"/>
      <c r="AEG148" s="89"/>
      <c r="AEH148" s="89"/>
      <c r="AEI148" s="89"/>
      <c r="AEJ148" s="89"/>
      <c r="AEK148" s="89"/>
      <c r="AEL148" s="89"/>
      <c r="AEM148" s="89"/>
      <c r="AEN148" s="89"/>
      <c r="AEO148" s="89"/>
      <c r="AEP148" s="89"/>
      <c r="AEQ148" s="89"/>
      <c r="AER148" s="89"/>
      <c r="AES148" s="89"/>
      <c r="AET148" s="89"/>
      <c r="AEU148" s="89"/>
      <c r="AEV148" s="89"/>
      <c r="AEW148" s="89"/>
      <c r="AEX148" s="89"/>
      <c r="AEY148" s="89"/>
      <c r="AEZ148" s="89"/>
      <c r="AFA148" s="89"/>
      <c r="AFB148" s="89"/>
      <c r="AFC148" s="89"/>
      <c r="AFD148" s="89"/>
      <c r="AFE148" s="89"/>
      <c r="AFF148" s="89"/>
      <c r="AFG148" s="89"/>
      <c r="AFH148" s="89"/>
      <c r="AFI148" s="89"/>
      <c r="AFJ148" s="89"/>
      <c r="AFK148" s="89"/>
      <c r="AFL148" s="89"/>
      <c r="AFM148" s="89"/>
      <c r="AFN148" s="89"/>
      <c r="AFO148" s="89"/>
      <c r="AFP148" s="89"/>
      <c r="AFQ148" s="89"/>
      <c r="AFR148" s="89"/>
      <c r="AFS148" s="89"/>
      <c r="AFT148" s="89"/>
      <c r="AFU148" s="89"/>
      <c r="AFV148" s="89"/>
      <c r="AFW148" s="89"/>
      <c r="AFX148" s="89"/>
      <c r="AFY148" s="89"/>
      <c r="AFZ148" s="89"/>
      <c r="AGA148" s="89"/>
      <c r="AGB148" s="89"/>
      <c r="AGC148" s="89"/>
      <c r="AGD148" s="89"/>
      <c r="AGE148" s="89"/>
      <c r="AGF148" s="89"/>
      <c r="AGG148" s="89"/>
      <c r="AGH148" s="89"/>
      <c r="AGI148" s="89"/>
      <c r="AGJ148" s="89"/>
      <c r="AGK148" s="89"/>
      <c r="AGL148" s="89"/>
      <c r="AGM148" s="89"/>
      <c r="AGN148" s="89"/>
      <c r="AGO148" s="89"/>
      <c r="AGP148" s="89"/>
      <c r="AGQ148" s="89"/>
      <c r="AGR148" s="89"/>
      <c r="AGS148" s="89"/>
      <c r="AGT148" s="89"/>
      <c r="AGU148" s="89"/>
      <c r="AGV148" s="89"/>
      <c r="AGW148" s="89"/>
      <c r="AGX148" s="89"/>
      <c r="AGY148" s="89"/>
      <c r="AGZ148" s="89"/>
      <c r="AHA148" s="89"/>
      <c r="AHB148" s="89"/>
      <c r="AHC148" s="89"/>
      <c r="AHD148" s="89"/>
      <c r="AHE148" s="89"/>
      <c r="AHF148" s="89"/>
      <c r="AHG148" s="89"/>
      <c r="AHH148" s="89"/>
      <c r="AHI148" s="89"/>
      <c r="AHJ148" s="89"/>
      <c r="AHK148" s="89"/>
      <c r="AHL148" s="89"/>
      <c r="AHM148" s="89"/>
      <c r="AHN148" s="89"/>
      <c r="AHO148" s="89"/>
      <c r="AHP148" s="89"/>
      <c r="AHQ148" s="89"/>
      <c r="AHR148" s="89"/>
      <c r="AHS148" s="89"/>
      <c r="AHT148" s="89"/>
      <c r="AHU148" s="89"/>
      <c r="AHV148" s="89"/>
      <c r="AHW148" s="89"/>
      <c r="AHX148" s="89"/>
      <c r="AHY148" s="89"/>
      <c r="AHZ148" s="89"/>
      <c r="AIA148" s="89"/>
      <c r="AIB148" s="89"/>
      <c r="AIC148" s="89"/>
      <c r="AID148" s="89"/>
      <c r="AIE148" s="89"/>
      <c r="AIF148" s="89"/>
      <c r="AIG148" s="89"/>
      <c r="AIH148" s="89"/>
      <c r="AII148" s="89"/>
      <c r="AIJ148" s="89"/>
      <c r="AIK148" s="89"/>
      <c r="AIL148" s="89"/>
      <c r="AIM148" s="89"/>
      <c r="AIN148" s="89"/>
      <c r="AIO148" s="89"/>
      <c r="AIP148" s="89"/>
      <c r="AIQ148" s="89"/>
      <c r="AIR148" s="89"/>
      <c r="AIS148" s="89"/>
      <c r="AIT148" s="89"/>
      <c r="AIU148" s="89"/>
      <c r="AIV148" s="89"/>
      <c r="AIW148" s="89"/>
      <c r="AIX148" s="89"/>
      <c r="AIY148" s="89"/>
      <c r="AIZ148" s="89"/>
      <c r="AJA148" s="89"/>
      <c r="AJB148" s="89"/>
      <c r="AJC148" s="89"/>
      <c r="AJD148" s="89"/>
      <c r="AJE148" s="89"/>
      <c r="AJF148" s="89"/>
      <c r="AJG148" s="89"/>
      <c r="AJH148" s="89"/>
      <c r="AJI148" s="89"/>
      <c r="AJJ148" s="89"/>
      <c r="AJK148" s="89"/>
      <c r="AJL148" s="89"/>
      <c r="AJM148" s="89"/>
      <c r="AJN148" s="89"/>
      <c r="AJO148" s="89"/>
      <c r="AJP148" s="89"/>
      <c r="AJQ148" s="89"/>
      <c r="AJR148" s="89"/>
      <c r="AJS148" s="89"/>
      <c r="AJT148" s="89"/>
      <c r="AJU148" s="89"/>
      <c r="AJV148" s="89"/>
      <c r="AJW148" s="89"/>
      <c r="AJX148" s="89"/>
      <c r="AJY148" s="89"/>
      <c r="AJZ148" s="89"/>
      <c r="AKA148" s="89"/>
      <c r="AKB148" s="89"/>
      <c r="AKC148" s="89"/>
      <c r="AKD148" s="89"/>
      <c r="AKE148" s="89"/>
      <c r="AKF148" s="89"/>
      <c r="AKG148" s="89"/>
      <c r="AKH148" s="89"/>
      <c r="AKI148" s="89"/>
      <c r="AKJ148" s="89"/>
      <c r="AKK148" s="89"/>
      <c r="AKL148" s="89"/>
      <c r="AKM148" s="89"/>
      <c r="AKN148" s="89"/>
      <c r="AKO148" s="89"/>
      <c r="AKP148" s="89"/>
      <c r="AKQ148" s="89"/>
      <c r="AKR148" s="89"/>
      <c r="AKS148" s="89"/>
      <c r="AKT148" s="89"/>
      <c r="AKU148" s="89"/>
      <c r="AKV148" s="89"/>
      <c r="AKW148" s="89"/>
      <c r="AKX148" s="89"/>
      <c r="AKY148" s="89"/>
      <c r="AKZ148" s="89"/>
      <c r="ALA148" s="89"/>
      <c r="ALB148" s="89"/>
      <c r="ALC148" s="89"/>
      <c r="ALD148" s="89"/>
      <c r="ALE148" s="89"/>
      <c r="ALF148" s="89"/>
      <c r="ALG148" s="89"/>
      <c r="ALH148" s="89"/>
      <c r="ALI148" s="89"/>
      <c r="ALJ148" s="89"/>
      <c r="ALK148" s="89"/>
      <c r="ALL148" s="89"/>
      <c r="ALM148" s="89"/>
      <c r="ALN148" s="89"/>
      <c r="ALO148" s="89"/>
      <c r="ALP148" s="89"/>
      <c r="ALQ148" s="89"/>
      <c r="ALR148" s="89"/>
      <c r="ALS148" s="89"/>
      <c r="ALT148" s="89"/>
      <c r="ALU148" s="89"/>
      <c r="ALV148" s="89"/>
      <c r="ALW148" s="89"/>
      <c r="ALX148" s="89"/>
      <c r="ALY148" s="89"/>
      <c r="ALZ148" s="89"/>
      <c r="AMA148" s="89"/>
      <c r="AMB148" s="89"/>
      <c r="AMC148" s="89"/>
      <c r="AMD148" s="89"/>
      <c r="AME148" s="89"/>
      <c r="AMF148" s="89"/>
      <c r="AMG148" s="89"/>
      <c r="AMH148" s="89"/>
      <c r="AMI148" s="89"/>
      <c r="AMJ148" s="89"/>
      <c r="AMK148" s="89"/>
      <c r="AML148" s="89"/>
      <c r="AMM148" s="89"/>
      <c r="AMN148" s="89"/>
      <c r="AMO148" s="89"/>
    </row>
    <row r="149" spans="2:1029">
      <c r="R149" s="140"/>
      <c r="V149" s="140"/>
      <c r="W149" s="140"/>
      <c r="X149" s="140"/>
      <c r="Y149" s="140"/>
    </row>
    <row r="150" spans="2:1029">
      <c r="B150" s="89"/>
      <c r="C150" s="89"/>
      <c r="D150" s="89"/>
      <c r="E150" s="173"/>
      <c r="F150" s="89"/>
      <c r="G150" s="173"/>
      <c r="H150" s="89"/>
      <c r="I150" s="89"/>
      <c r="J150" s="89"/>
      <c r="K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89"/>
      <c r="EK150" s="89"/>
      <c r="EL150" s="89"/>
      <c r="EM150" s="89"/>
      <c r="EN150" s="89"/>
      <c r="EO150" s="89"/>
      <c r="EP150" s="89"/>
      <c r="EQ150" s="89"/>
      <c r="ER150" s="89"/>
      <c r="ES150" s="89"/>
      <c r="ET150" s="89"/>
      <c r="EU150" s="89"/>
      <c r="EV150" s="89"/>
      <c r="EW150" s="89"/>
      <c r="EX150" s="89"/>
      <c r="EY150" s="89"/>
      <c r="EZ150" s="89"/>
      <c r="FA150" s="89"/>
      <c r="FB150" s="89"/>
      <c r="FC150" s="89"/>
      <c r="FD150" s="89"/>
      <c r="FE150" s="89"/>
      <c r="FF150" s="89"/>
      <c r="FG150" s="89"/>
      <c r="FH150" s="89"/>
      <c r="FI150" s="89"/>
      <c r="FJ150" s="89"/>
      <c r="FK150" s="89"/>
      <c r="FL150" s="89"/>
      <c r="FM150" s="89"/>
      <c r="FN150" s="89"/>
      <c r="FO150" s="89"/>
      <c r="FP150" s="89"/>
      <c r="FQ150" s="89"/>
      <c r="FR150" s="89"/>
      <c r="FS150" s="89"/>
      <c r="FT150" s="89"/>
      <c r="FU150" s="89"/>
      <c r="FV150" s="89"/>
      <c r="FW150" s="89"/>
      <c r="FX150" s="89"/>
      <c r="FY150" s="89"/>
      <c r="FZ150" s="89"/>
      <c r="GA150" s="89"/>
      <c r="GB150" s="89"/>
      <c r="GC150" s="89"/>
      <c r="GD150" s="89"/>
      <c r="GE150" s="89"/>
      <c r="GF150" s="89"/>
      <c r="GG150" s="89"/>
      <c r="GH150" s="89"/>
      <c r="GI150" s="89"/>
      <c r="GJ150" s="89"/>
      <c r="GK150" s="89"/>
      <c r="GL150" s="89"/>
      <c r="GM150" s="89"/>
      <c r="GN150" s="89"/>
      <c r="GO150" s="89"/>
      <c r="GP150" s="89"/>
      <c r="GQ150" s="89"/>
      <c r="GR150" s="89"/>
      <c r="GS150" s="89"/>
      <c r="GT150" s="89"/>
      <c r="GU150" s="89"/>
      <c r="GV150" s="89"/>
      <c r="GW150" s="89"/>
      <c r="GX150" s="89"/>
      <c r="GY150" s="89"/>
      <c r="GZ150" s="89"/>
      <c r="HA150" s="89"/>
      <c r="HB150" s="89"/>
      <c r="HC150" s="89"/>
      <c r="HD150" s="89"/>
      <c r="HE150" s="89"/>
      <c r="HF150" s="89"/>
      <c r="HG150" s="89"/>
      <c r="HH150" s="89"/>
      <c r="HI150" s="89"/>
      <c r="HJ150" s="89"/>
      <c r="HK150" s="89"/>
      <c r="HL150" s="89"/>
      <c r="HM150" s="89"/>
      <c r="HN150" s="89"/>
      <c r="HO150" s="89"/>
      <c r="HP150" s="89"/>
      <c r="HQ150" s="89"/>
      <c r="HR150" s="89"/>
      <c r="HS150" s="89"/>
      <c r="HT150" s="89"/>
      <c r="HU150" s="89"/>
      <c r="HV150" s="89"/>
      <c r="HW150" s="89"/>
      <c r="HX150" s="89"/>
      <c r="HY150" s="89"/>
      <c r="HZ150" s="89"/>
      <c r="IA150" s="89"/>
      <c r="IB150" s="89"/>
      <c r="IC150" s="89"/>
      <c r="ID150" s="89"/>
      <c r="IE150" s="89"/>
      <c r="IF150" s="89"/>
      <c r="IG150" s="89"/>
      <c r="IH150" s="89"/>
      <c r="II150" s="89"/>
      <c r="IJ150" s="89"/>
      <c r="IK150" s="89"/>
      <c r="IL150" s="89"/>
      <c r="IM150" s="89"/>
      <c r="IN150" s="89"/>
      <c r="IO150" s="89"/>
      <c r="IP150" s="89"/>
      <c r="IQ150" s="89"/>
      <c r="IR150" s="89"/>
      <c r="IS150" s="89"/>
      <c r="IT150" s="89"/>
      <c r="IU150" s="89"/>
      <c r="IV150" s="89"/>
      <c r="IW150" s="89"/>
      <c r="IX150" s="89"/>
      <c r="IY150" s="89"/>
      <c r="IZ150" s="89"/>
      <c r="JA150" s="89"/>
      <c r="JB150" s="89"/>
      <c r="JC150" s="89"/>
      <c r="JD150" s="89"/>
      <c r="JE150" s="89"/>
      <c r="JF150" s="89"/>
      <c r="JG150" s="89"/>
      <c r="JH150" s="89"/>
      <c r="JI150" s="89"/>
      <c r="JJ150" s="89"/>
      <c r="JK150" s="89"/>
      <c r="JL150" s="89"/>
      <c r="JM150" s="89"/>
      <c r="JN150" s="89"/>
      <c r="JO150" s="89"/>
      <c r="JP150" s="89"/>
      <c r="JQ150" s="89"/>
      <c r="JR150" s="89"/>
      <c r="JS150" s="89"/>
      <c r="JT150" s="89"/>
      <c r="JU150" s="89"/>
      <c r="JV150" s="89"/>
      <c r="JW150" s="89"/>
      <c r="JX150" s="89"/>
      <c r="JY150" s="89"/>
      <c r="JZ150" s="89"/>
      <c r="KA150" s="89"/>
      <c r="KB150" s="89"/>
      <c r="KC150" s="89"/>
      <c r="KD150" s="89"/>
      <c r="KE150" s="89"/>
      <c r="KF150" s="89"/>
      <c r="KG150" s="89"/>
      <c r="KH150" s="89"/>
      <c r="KI150" s="89"/>
      <c r="KJ150" s="89"/>
      <c r="KK150" s="89"/>
      <c r="KL150" s="89"/>
      <c r="KM150" s="89"/>
      <c r="KN150" s="89"/>
      <c r="KO150" s="89"/>
      <c r="KP150" s="89"/>
      <c r="KQ150" s="89"/>
      <c r="KR150" s="89"/>
      <c r="KS150" s="89"/>
      <c r="KT150" s="89"/>
      <c r="KU150" s="89"/>
      <c r="KV150" s="89"/>
      <c r="KW150" s="89"/>
      <c r="KX150" s="89"/>
      <c r="KY150" s="89"/>
      <c r="KZ150" s="89"/>
      <c r="LA150" s="89"/>
      <c r="LB150" s="89"/>
      <c r="LC150" s="89"/>
      <c r="LD150" s="89"/>
      <c r="LE150" s="89"/>
      <c r="LF150" s="89"/>
      <c r="LG150" s="89"/>
      <c r="LH150" s="89"/>
      <c r="LI150" s="89"/>
      <c r="LJ150" s="89"/>
      <c r="LK150" s="89"/>
      <c r="LL150" s="89"/>
      <c r="LM150" s="89"/>
      <c r="LN150" s="89"/>
      <c r="LO150" s="89"/>
      <c r="LP150" s="89"/>
      <c r="LQ150" s="89"/>
      <c r="LR150" s="89"/>
      <c r="LS150" s="89"/>
      <c r="LT150" s="89"/>
      <c r="LU150" s="89"/>
      <c r="LV150" s="89"/>
      <c r="LW150" s="89"/>
      <c r="LX150" s="89"/>
      <c r="LY150" s="89"/>
      <c r="LZ150" s="89"/>
      <c r="MA150" s="89"/>
      <c r="MB150" s="89"/>
      <c r="MC150" s="89"/>
      <c r="MD150" s="89"/>
      <c r="ME150" s="89"/>
      <c r="MF150" s="89"/>
      <c r="MG150" s="89"/>
      <c r="MH150" s="89"/>
      <c r="MI150" s="89"/>
      <c r="MJ150" s="89"/>
      <c r="MK150" s="89"/>
      <c r="ML150" s="89"/>
      <c r="MM150" s="89"/>
      <c r="MN150" s="89"/>
      <c r="MO150" s="89"/>
      <c r="MP150" s="89"/>
      <c r="MQ150" s="89"/>
      <c r="MR150" s="89"/>
      <c r="MS150" s="89"/>
      <c r="MT150" s="89"/>
      <c r="MU150" s="89"/>
      <c r="MV150" s="89"/>
      <c r="MW150" s="89"/>
      <c r="MX150" s="89"/>
      <c r="MY150" s="89"/>
      <c r="MZ150" s="89"/>
      <c r="NA150" s="89"/>
      <c r="NB150" s="89"/>
      <c r="NC150" s="89"/>
      <c r="ND150" s="89"/>
      <c r="NE150" s="89"/>
      <c r="NF150" s="89"/>
      <c r="NG150" s="89"/>
      <c r="NH150" s="89"/>
      <c r="NI150" s="89"/>
      <c r="NJ150" s="89"/>
      <c r="NK150" s="89"/>
      <c r="NL150" s="89"/>
      <c r="NM150" s="89"/>
      <c r="NN150" s="89"/>
      <c r="NO150" s="89"/>
      <c r="NP150" s="89"/>
      <c r="NQ150" s="89"/>
      <c r="NR150" s="89"/>
      <c r="NS150" s="89"/>
      <c r="NT150" s="89"/>
      <c r="NU150" s="89"/>
      <c r="NV150" s="89"/>
      <c r="NW150" s="89"/>
      <c r="NX150" s="89"/>
      <c r="NY150" s="89"/>
      <c r="NZ150" s="89"/>
      <c r="OA150" s="89"/>
      <c r="OB150" s="89"/>
      <c r="OC150" s="89"/>
      <c r="OD150" s="89"/>
      <c r="OE150" s="89"/>
      <c r="OF150" s="89"/>
      <c r="OG150" s="89"/>
      <c r="OH150" s="89"/>
      <c r="OI150" s="89"/>
      <c r="OJ150" s="89"/>
      <c r="OK150" s="89"/>
      <c r="OL150" s="89"/>
      <c r="OM150" s="89"/>
      <c r="ON150" s="89"/>
      <c r="OO150" s="89"/>
      <c r="OP150" s="89"/>
      <c r="OQ150" s="89"/>
      <c r="OR150" s="89"/>
      <c r="OS150" s="89"/>
      <c r="OT150" s="89"/>
      <c r="OU150" s="89"/>
      <c r="OV150" s="89"/>
      <c r="OW150" s="89"/>
      <c r="OX150" s="89"/>
      <c r="OY150" s="89"/>
      <c r="OZ150" s="89"/>
      <c r="PA150" s="89"/>
      <c r="PB150" s="89"/>
      <c r="PC150" s="89"/>
      <c r="PD150" s="89"/>
      <c r="PE150" s="89"/>
      <c r="PF150" s="89"/>
      <c r="PG150" s="89"/>
      <c r="PH150" s="89"/>
      <c r="PI150" s="89"/>
      <c r="PJ150" s="89"/>
      <c r="PK150" s="89"/>
      <c r="PL150" s="89"/>
      <c r="PM150" s="89"/>
      <c r="PN150" s="89"/>
      <c r="PO150" s="89"/>
      <c r="PP150" s="89"/>
      <c r="PQ150" s="89"/>
      <c r="PR150" s="89"/>
      <c r="PS150" s="89"/>
      <c r="PT150" s="89"/>
      <c r="PU150" s="89"/>
      <c r="PV150" s="89"/>
      <c r="PW150" s="89"/>
      <c r="PX150" s="89"/>
      <c r="PY150" s="89"/>
      <c r="PZ150" s="89"/>
      <c r="QA150" s="89"/>
      <c r="QB150" s="89"/>
      <c r="QC150" s="89"/>
      <c r="QD150" s="89"/>
      <c r="QE150" s="89"/>
      <c r="QF150" s="89"/>
      <c r="QG150" s="89"/>
      <c r="QH150" s="89"/>
      <c r="QI150" s="89"/>
      <c r="QJ150" s="89"/>
      <c r="QK150" s="89"/>
      <c r="QL150" s="89"/>
      <c r="QM150" s="89"/>
      <c r="QN150" s="89"/>
      <c r="QO150" s="89"/>
      <c r="QP150" s="89"/>
      <c r="QQ150" s="89"/>
      <c r="QR150" s="89"/>
      <c r="QS150" s="89"/>
      <c r="QT150" s="89"/>
      <c r="QU150" s="89"/>
      <c r="QV150" s="89"/>
      <c r="QW150" s="89"/>
      <c r="QX150" s="89"/>
      <c r="QY150" s="89"/>
      <c r="QZ150" s="89"/>
      <c r="RA150" s="89"/>
      <c r="RB150" s="89"/>
      <c r="RC150" s="89"/>
      <c r="RD150" s="89"/>
      <c r="RE150" s="89"/>
      <c r="RF150" s="89"/>
      <c r="RG150" s="89"/>
      <c r="RH150" s="89"/>
      <c r="RI150" s="89"/>
      <c r="RJ150" s="89"/>
      <c r="RK150" s="89"/>
      <c r="RL150" s="89"/>
      <c r="RM150" s="89"/>
      <c r="RN150" s="89"/>
      <c r="RO150" s="89"/>
      <c r="RP150" s="89"/>
      <c r="RQ150" s="89"/>
      <c r="RR150" s="89"/>
      <c r="RS150" s="89"/>
      <c r="RT150" s="89"/>
      <c r="RU150" s="89"/>
      <c r="RV150" s="89"/>
      <c r="RW150" s="89"/>
      <c r="RX150" s="89"/>
      <c r="RY150" s="89"/>
      <c r="RZ150" s="89"/>
      <c r="SA150" s="89"/>
      <c r="SB150" s="89"/>
      <c r="SC150" s="89"/>
      <c r="SD150" s="89"/>
      <c r="SE150" s="89"/>
      <c r="SF150" s="89"/>
      <c r="SG150" s="89"/>
      <c r="SH150" s="89"/>
      <c r="SI150" s="89"/>
      <c r="SJ150" s="89"/>
      <c r="SK150" s="89"/>
      <c r="SL150" s="89"/>
      <c r="SM150" s="89"/>
      <c r="SN150" s="89"/>
      <c r="SO150" s="89"/>
      <c r="SP150" s="89"/>
      <c r="SQ150" s="89"/>
      <c r="SR150" s="89"/>
      <c r="SS150" s="89"/>
      <c r="ST150" s="89"/>
      <c r="SU150" s="89"/>
      <c r="SV150" s="89"/>
      <c r="SW150" s="89"/>
      <c r="SX150" s="89"/>
      <c r="SY150" s="89"/>
      <c r="SZ150" s="89"/>
      <c r="TA150" s="89"/>
      <c r="TB150" s="89"/>
      <c r="TC150" s="89"/>
      <c r="TD150" s="89"/>
      <c r="TE150" s="89"/>
      <c r="TF150" s="89"/>
      <c r="TG150" s="89"/>
      <c r="TH150" s="89"/>
      <c r="TI150" s="89"/>
      <c r="TJ150" s="89"/>
      <c r="TK150" s="89"/>
      <c r="TL150" s="89"/>
      <c r="TM150" s="89"/>
      <c r="TN150" s="89"/>
      <c r="TO150" s="89"/>
      <c r="TP150" s="89"/>
      <c r="TQ150" s="89"/>
      <c r="TR150" s="89"/>
      <c r="TS150" s="89"/>
      <c r="TT150" s="89"/>
      <c r="TU150" s="89"/>
      <c r="TV150" s="89"/>
      <c r="TW150" s="89"/>
      <c r="TX150" s="89"/>
      <c r="TY150" s="89"/>
      <c r="TZ150" s="89"/>
      <c r="UA150" s="89"/>
      <c r="UB150" s="89"/>
      <c r="UC150" s="89"/>
      <c r="UD150" s="89"/>
      <c r="UE150" s="89"/>
      <c r="UF150" s="89"/>
      <c r="UG150" s="89"/>
      <c r="UH150" s="89"/>
      <c r="UI150" s="89"/>
      <c r="UJ150" s="89"/>
      <c r="UK150" s="89"/>
      <c r="UL150" s="89"/>
      <c r="UM150" s="89"/>
      <c r="UN150" s="89"/>
      <c r="UO150" s="89"/>
      <c r="UP150" s="89"/>
      <c r="UQ150" s="89"/>
      <c r="UR150" s="89"/>
      <c r="US150" s="89"/>
      <c r="UT150" s="89"/>
      <c r="UU150" s="89"/>
      <c r="UV150" s="89"/>
      <c r="UW150" s="89"/>
      <c r="UX150" s="89"/>
      <c r="UY150" s="89"/>
      <c r="UZ150" s="89"/>
      <c r="VA150" s="89"/>
      <c r="VB150" s="89"/>
      <c r="VC150" s="89"/>
      <c r="VD150" s="89"/>
      <c r="VE150" s="89"/>
      <c r="VF150" s="89"/>
      <c r="VG150" s="89"/>
      <c r="VH150" s="89"/>
      <c r="VI150" s="89"/>
      <c r="VJ150" s="89"/>
      <c r="VK150" s="89"/>
      <c r="VL150" s="89"/>
      <c r="VM150" s="89"/>
      <c r="VN150" s="89"/>
      <c r="VO150" s="89"/>
      <c r="VP150" s="89"/>
      <c r="VQ150" s="89"/>
      <c r="VR150" s="89"/>
      <c r="VS150" s="89"/>
      <c r="VT150" s="89"/>
      <c r="VU150" s="89"/>
      <c r="VV150" s="89"/>
      <c r="VW150" s="89"/>
      <c r="VX150" s="89"/>
      <c r="VY150" s="89"/>
      <c r="VZ150" s="89"/>
      <c r="WA150" s="89"/>
      <c r="WB150" s="89"/>
      <c r="WC150" s="89"/>
      <c r="WD150" s="89"/>
      <c r="WE150" s="89"/>
      <c r="WF150" s="89"/>
      <c r="WG150" s="89"/>
      <c r="WH150" s="89"/>
      <c r="WI150" s="89"/>
      <c r="WJ150" s="89"/>
      <c r="WK150" s="89"/>
      <c r="WL150" s="89"/>
      <c r="WM150" s="89"/>
      <c r="WN150" s="89"/>
      <c r="WO150" s="89"/>
      <c r="WP150" s="89"/>
      <c r="WQ150" s="89"/>
      <c r="WR150" s="89"/>
      <c r="WS150" s="89"/>
      <c r="WT150" s="89"/>
      <c r="WU150" s="89"/>
      <c r="WV150" s="89"/>
      <c r="WW150" s="89"/>
      <c r="WX150" s="89"/>
      <c r="WY150" s="89"/>
      <c r="WZ150" s="89"/>
      <c r="XA150" s="89"/>
      <c r="XB150" s="89"/>
      <c r="XC150" s="89"/>
      <c r="XD150" s="89"/>
      <c r="XE150" s="89"/>
      <c r="XF150" s="89"/>
      <c r="XG150" s="89"/>
      <c r="XH150" s="89"/>
      <c r="XI150" s="89"/>
      <c r="XJ150" s="89"/>
      <c r="XK150" s="89"/>
      <c r="XL150" s="89"/>
      <c r="XM150" s="89"/>
      <c r="XN150" s="89"/>
      <c r="XO150" s="89"/>
      <c r="XP150" s="89"/>
      <c r="XQ150" s="89"/>
      <c r="XR150" s="89"/>
      <c r="XS150" s="89"/>
      <c r="XT150" s="89"/>
      <c r="XU150" s="89"/>
      <c r="XV150" s="89"/>
      <c r="XW150" s="89"/>
      <c r="XX150" s="89"/>
      <c r="XY150" s="89"/>
      <c r="XZ150" s="89"/>
      <c r="YA150" s="89"/>
      <c r="YB150" s="89"/>
      <c r="YC150" s="89"/>
      <c r="YD150" s="89"/>
      <c r="YE150" s="89"/>
      <c r="YF150" s="89"/>
      <c r="YG150" s="89"/>
      <c r="YH150" s="89"/>
      <c r="YI150" s="89"/>
      <c r="YJ150" s="89"/>
      <c r="YK150" s="89"/>
      <c r="YL150" s="89"/>
      <c r="YM150" s="89"/>
      <c r="YN150" s="89"/>
      <c r="YO150" s="89"/>
      <c r="YP150" s="89"/>
      <c r="YQ150" s="89"/>
      <c r="YR150" s="89"/>
      <c r="YS150" s="89"/>
      <c r="YT150" s="89"/>
      <c r="YU150" s="89"/>
      <c r="YV150" s="89"/>
      <c r="YW150" s="89"/>
      <c r="YX150" s="89"/>
      <c r="YY150" s="89"/>
      <c r="YZ150" s="89"/>
      <c r="ZA150" s="89"/>
      <c r="ZB150" s="89"/>
      <c r="ZC150" s="89"/>
      <c r="ZD150" s="89"/>
      <c r="ZE150" s="89"/>
      <c r="ZF150" s="89"/>
      <c r="ZG150" s="89"/>
      <c r="ZH150" s="89"/>
      <c r="ZI150" s="89"/>
      <c r="ZJ150" s="89"/>
      <c r="ZK150" s="89"/>
      <c r="ZL150" s="89"/>
      <c r="ZM150" s="89"/>
      <c r="ZN150" s="89"/>
      <c r="ZO150" s="89"/>
      <c r="ZP150" s="89"/>
      <c r="ZQ150" s="89"/>
      <c r="ZR150" s="89"/>
      <c r="ZS150" s="89"/>
      <c r="ZT150" s="89"/>
      <c r="ZU150" s="89"/>
      <c r="ZV150" s="89"/>
      <c r="ZW150" s="89"/>
      <c r="ZX150" s="89"/>
      <c r="ZY150" s="89"/>
      <c r="ZZ150" s="89"/>
      <c r="AAA150" s="89"/>
      <c r="AAB150" s="89"/>
      <c r="AAC150" s="89"/>
      <c r="AAD150" s="89"/>
      <c r="AAE150" s="89"/>
      <c r="AAF150" s="89"/>
      <c r="AAG150" s="89"/>
      <c r="AAH150" s="89"/>
      <c r="AAI150" s="89"/>
      <c r="AAJ150" s="89"/>
      <c r="AAK150" s="89"/>
      <c r="AAL150" s="89"/>
      <c r="AAM150" s="89"/>
      <c r="AAN150" s="89"/>
      <c r="AAO150" s="89"/>
      <c r="AAP150" s="89"/>
      <c r="AAQ150" s="89"/>
      <c r="AAR150" s="89"/>
      <c r="AAS150" s="89"/>
      <c r="AAT150" s="89"/>
      <c r="AAU150" s="89"/>
      <c r="AAV150" s="89"/>
      <c r="AAW150" s="89"/>
      <c r="AAX150" s="89"/>
      <c r="AAY150" s="89"/>
      <c r="AAZ150" s="89"/>
      <c r="ABA150" s="89"/>
      <c r="ABB150" s="89"/>
      <c r="ABC150" s="89"/>
      <c r="ABD150" s="89"/>
      <c r="ABE150" s="89"/>
      <c r="ABF150" s="89"/>
      <c r="ABG150" s="89"/>
      <c r="ABH150" s="89"/>
      <c r="ABI150" s="89"/>
      <c r="ABJ150" s="89"/>
      <c r="ABK150" s="89"/>
      <c r="ABL150" s="89"/>
      <c r="ABM150" s="89"/>
      <c r="ABN150" s="89"/>
      <c r="ABO150" s="89"/>
      <c r="ABP150" s="89"/>
      <c r="ABQ150" s="89"/>
      <c r="ABR150" s="89"/>
      <c r="ABS150" s="89"/>
      <c r="ABT150" s="89"/>
      <c r="ABU150" s="89"/>
      <c r="ABV150" s="89"/>
      <c r="ABW150" s="89"/>
      <c r="ABX150" s="89"/>
      <c r="ABY150" s="89"/>
      <c r="ABZ150" s="89"/>
      <c r="ACA150" s="89"/>
      <c r="ACB150" s="89"/>
      <c r="ACC150" s="89"/>
      <c r="ACD150" s="89"/>
      <c r="ACE150" s="89"/>
      <c r="ACF150" s="89"/>
      <c r="ACG150" s="89"/>
      <c r="ACH150" s="89"/>
      <c r="ACI150" s="89"/>
      <c r="ACJ150" s="89"/>
      <c r="ACK150" s="89"/>
      <c r="ACL150" s="89"/>
      <c r="ACM150" s="89"/>
      <c r="ACN150" s="89"/>
      <c r="ACO150" s="89"/>
      <c r="ACP150" s="89"/>
      <c r="ACQ150" s="89"/>
      <c r="ACR150" s="89"/>
      <c r="ACS150" s="89"/>
      <c r="ACT150" s="89"/>
      <c r="ACU150" s="89"/>
      <c r="ACV150" s="89"/>
      <c r="ACW150" s="89"/>
      <c r="ACX150" s="89"/>
      <c r="ACY150" s="89"/>
      <c r="ACZ150" s="89"/>
      <c r="ADA150" s="89"/>
      <c r="ADB150" s="89"/>
      <c r="ADC150" s="89"/>
      <c r="ADD150" s="89"/>
      <c r="ADE150" s="89"/>
      <c r="ADF150" s="89"/>
      <c r="ADG150" s="89"/>
      <c r="ADH150" s="89"/>
      <c r="ADI150" s="89"/>
      <c r="ADJ150" s="89"/>
      <c r="ADK150" s="89"/>
      <c r="ADL150" s="89"/>
      <c r="ADM150" s="89"/>
      <c r="ADN150" s="89"/>
      <c r="ADO150" s="89"/>
      <c r="ADP150" s="89"/>
      <c r="ADQ150" s="89"/>
      <c r="ADR150" s="89"/>
      <c r="ADS150" s="89"/>
      <c r="ADT150" s="89"/>
      <c r="ADU150" s="89"/>
      <c r="ADV150" s="89"/>
      <c r="ADW150" s="89"/>
      <c r="ADX150" s="89"/>
      <c r="ADY150" s="89"/>
      <c r="ADZ150" s="89"/>
      <c r="AEA150" s="89"/>
      <c r="AEB150" s="89"/>
      <c r="AEC150" s="89"/>
      <c r="AED150" s="89"/>
      <c r="AEE150" s="89"/>
      <c r="AEF150" s="89"/>
      <c r="AEG150" s="89"/>
      <c r="AEH150" s="89"/>
      <c r="AEI150" s="89"/>
      <c r="AEJ150" s="89"/>
      <c r="AEK150" s="89"/>
      <c r="AEL150" s="89"/>
      <c r="AEM150" s="89"/>
      <c r="AEN150" s="89"/>
      <c r="AEO150" s="89"/>
      <c r="AEP150" s="89"/>
      <c r="AEQ150" s="89"/>
      <c r="AER150" s="89"/>
      <c r="AES150" s="89"/>
      <c r="AET150" s="89"/>
      <c r="AEU150" s="89"/>
      <c r="AEV150" s="89"/>
      <c r="AEW150" s="89"/>
      <c r="AEX150" s="89"/>
      <c r="AEY150" s="89"/>
      <c r="AEZ150" s="89"/>
      <c r="AFA150" s="89"/>
      <c r="AFB150" s="89"/>
      <c r="AFC150" s="89"/>
      <c r="AFD150" s="89"/>
      <c r="AFE150" s="89"/>
      <c r="AFF150" s="89"/>
      <c r="AFG150" s="89"/>
      <c r="AFH150" s="89"/>
      <c r="AFI150" s="89"/>
      <c r="AFJ150" s="89"/>
      <c r="AFK150" s="89"/>
      <c r="AFL150" s="89"/>
      <c r="AFM150" s="89"/>
      <c r="AFN150" s="89"/>
      <c r="AFO150" s="89"/>
      <c r="AFP150" s="89"/>
      <c r="AFQ150" s="89"/>
      <c r="AFR150" s="89"/>
      <c r="AFS150" s="89"/>
      <c r="AFT150" s="89"/>
      <c r="AFU150" s="89"/>
      <c r="AFV150" s="89"/>
      <c r="AFW150" s="89"/>
      <c r="AFX150" s="89"/>
      <c r="AFY150" s="89"/>
      <c r="AFZ150" s="89"/>
      <c r="AGA150" s="89"/>
      <c r="AGB150" s="89"/>
      <c r="AGC150" s="89"/>
      <c r="AGD150" s="89"/>
      <c r="AGE150" s="89"/>
      <c r="AGF150" s="89"/>
      <c r="AGG150" s="89"/>
      <c r="AGH150" s="89"/>
      <c r="AGI150" s="89"/>
      <c r="AGJ150" s="89"/>
      <c r="AGK150" s="89"/>
      <c r="AGL150" s="89"/>
      <c r="AGM150" s="89"/>
      <c r="AGN150" s="89"/>
      <c r="AGO150" s="89"/>
      <c r="AGP150" s="89"/>
      <c r="AGQ150" s="89"/>
      <c r="AGR150" s="89"/>
      <c r="AGS150" s="89"/>
      <c r="AGT150" s="89"/>
      <c r="AGU150" s="89"/>
      <c r="AGV150" s="89"/>
      <c r="AGW150" s="89"/>
      <c r="AGX150" s="89"/>
      <c r="AGY150" s="89"/>
      <c r="AGZ150" s="89"/>
      <c r="AHA150" s="89"/>
      <c r="AHB150" s="89"/>
      <c r="AHC150" s="89"/>
      <c r="AHD150" s="89"/>
      <c r="AHE150" s="89"/>
      <c r="AHF150" s="89"/>
      <c r="AHG150" s="89"/>
      <c r="AHH150" s="89"/>
      <c r="AHI150" s="89"/>
      <c r="AHJ150" s="89"/>
      <c r="AHK150" s="89"/>
      <c r="AHL150" s="89"/>
      <c r="AHM150" s="89"/>
      <c r="AHN150" s="89"/>
      <c r="AHO150" s="89"/>
      <c r="AHP150" s="89"/>
      <c r="AHQ150" s="89"/>
      <c r="AHR150" s="89"/>
      <c r="AHS150" s="89"/>
      <c r="AHT150" s="89"/>
      <c r="AHU150" s="89"/>
      <c r="AHV150" s="89"/>
      <c r="AHW150" s="89"/>
      <c r="AHX150" s="89"/>
      <c r="AHY150" s="89"/>
      <c r="AHZ150" s="89"/>
      <c r="AIA150" s="89"/>
      <c r="AIB150" s="89"/>
      <c r="AIC150" s="89"/>
      <c r="AID150" s="89"/>
      <c r="AIE150" s="89"/>
      <c r="AIF150" s="89"/>
      <c r="AIG150" s="89"/>
      <c r="AIH150" s="89"/>
      <c r="AII150" s="89"/>
      <c r="AIJ150" s="89"/>
      <c r="AIK150" s="89"/>
      <c r="AIL150" s="89"/>
      <c r="AIM150" s="89"/>
      <c r="AIN150" s="89"/>
      <c r="AIO150" s="89"/>
      <c r="AIP150" s="89"/>
      <c r="AIQ150" s="89"/>
      <c r="AIR150" s="89"/>
      <c r="AIS150" s="89"/>
      <c r="AIT150" s="89"/>
      <c r="AIU150" s="89"/>
      <c r="AIV150" s="89"/>
      <c r="AIW150" s="89"/>
      <c r="AIX150" s="89"/>
      <c r="AIY150" s="89"/>
      <c r="AIZ150" s="89"/>
      <c r="AJA150" s="89"/>
      <c r="AJB150" s="89"/>
      <c r="AJC150" s="89"/>
      <c r="AJD150" s="89"/>
      <c r="AJE150" s="89"/>
      <c r="AJF150" s="89"/>
      <c r="AJG150" s="89"/>
      <c r="AJH150" s="89"/>
      <c r="AJI150" s="89"/>
      <c r="AJJ150" s="89"/>
      <c r="AJK150" s="89"/>
      <c r="AJL150" s="89"/>
      <c r="AJM150" s="89"/>
      <c r="AJN150" s="89"/>
      <c r="AJO150" s="89"/>
      <c r="AJP150" s="89"/>
      <c r="AJQ150" s="89"/>
      <c r="AJR150" s="89"/>
      <c r="AJS150" s="89"/>
      <c r="AJT150" s="89"/>
      <c r="AJU150" s="89"/>
      <c r="AJV150" s="89"/>
      <c r="AJW150" s="89"/>
      <c r="AJX150" s="89"/>
      <c r="AJY150" s="89"/>
      <c r="AJZ150" s="89"/>
      <c r="AKA150" s="89"/>
      <c r="AKB150" s="89"/>
      <c r="AKC150" s="89"/>
      <c r="AKD150" s="89"/>
      <c r="AKE150" s="89"/>
      <c r="AKF150" s="89"/>
      <c r="AKG150" s="89"/>
      <c r="AKH150" s="89"/>
      <c r="AKI150" s="89"/>
      <c r="AKJ150" s="89"/>
      <c r="AKK150" s="89"/>
      <c r="AKL150" s="89"/>
      <c r="AKM150" s="89"/>
      <c r="AKN150" s="89"/>
      <c r="AKO150" s="89"/>
      <c r="AKP150" s="89"/>
      <c r="AKQ150" s="89"/>
      <c r="AKR150" s="89"/>
      <c r="AKS150" s="89"/>
      <c r="AKT150" s="89"/>
      <c r="AKU150" s="89"/>
      <c r="AKV150" s="89"/>
      <c r="AKW150" s="89"/>
      <c r="AKX150" s="89"/>
      <c r="AKY150" s="89"/>
      <c r="AKZ150" s="89"/>
      <c r="ALA150" s="89"/>
      <c r="ALB150" s="89"/>
      <c r="ALC150" s="89"/>
      <c r="ALD150" s="89"/>
      <c r="ALE150" s="89"/>
      <c r="ALF150" s="89"/>
      <c r="ALG150" s="89"/>
      <c r="ALH150" s="89"/>
      <c r="ALI150" s="89"/>
      <c r="ALJ150" s="89"/>
      <c r="ALK150" s="89"/>
      <c r="ALL150" s="89"/>
      <c r="ALM150" s="89"/>
      <c r="ALN150" s="89"/>
      <c r="ALO150" s="89"/>
      <c r="ALP150" s="89"/>
      <c r="ALQ150" s="89"/>
      <c r="ALR150" s="89"/>
      <c r="ALS150" s="89"/>
      <c r="ALT150" s="89"/>
      <c r="ALU150" s="89"/>
      <c r="ALV150" s="89"/>
      <c r="ALW150" s="89"/>
      <c r="ALX150" s="89"/>
      <c r="ALY150" s="89"/>
      <c r="ALZ150" s="89"/>
      <c r="AMA150" s="89"/>
      <c r="AMB150" s="89"/>
      <c r="AMC150" s="89"/>
      <c r="AMD150" s="89"/>
      <c r="AME150" s="89"/>
      <c r="AMF150" s="89"/>
      <c r="AMG150" s="89"/>
      <c r="AMH150" s="89"/>
      <c r="AMI150" s="89"/>
      <c r="AMJ150" s="89"/>
      <c r="AMK150" s="89"/>
      <c r="AML150" s="89"/>
      <c r="AMM150" s="89"/>
      <c r="AMN150" s="89"/>
      <c r="AMO150" s="89"/>
    </row>
  </sheetData>
  <mergeCells count="29">
    <mergeCell ref="C1:L1"/>
    <mergeCell ref="C2:M2"/>
    <mergeCell ref="C4:M4"/>
    <mergeCell ref="C3:M3"/>
    <mergeCell ref="P1:Q1"/>
    <mergeCell ref="P6:Q6"/>
    <mergeCell ref="P7:Q7"/>
    <mergeCell ref="P8:Q8"/>
    <mergeCell ref="M8:N8"/>
    <mergeCell ref="N11:N12"/>
    <mergeCell ref="C11:C12"/>
    <mergeCell ref="B11:B12"/>
    <mergeCell ref="E11:E12"/>
    <mergeCell ref="D11:D12"/>
    <mergeCell ref="G11:G12"/>
    <mergeCell ref="I11:I12"/>
    <mergeCell ref="J11:J12"/>
    <mergeCell ref="K11:M11"/>
    <mergeCell ref="F11:F12"/>
    <mergeCell ref="I133:K133"/>
    <mergeCell ref="L133:M133"/>
    <mergeCell ref="I134:K134"/>
    <mergeCell ref="I141:K141"/>
    <mergeCell ref="L142:M142"/>
    <mergeCell ref="I135:K135"/>
    <mergeCell ref="L135:M135"/>
    <mergeCell ref="I138:K138"/>
    <mergeCell ref="I139:K139"/>
    <mergeCell ref="I140:K140"/>
  </mergeCells>
  <phoneticPr fontId="2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0"/>
  <sheetViews>
    <sheetView topLeftCell="A106" zoomScale="85" zoomScaleNormal="85" zoomScaleSheetLayoutView="80" workbookViewId="0">
      <selection activeCell="Q38" sqref="Q38"/>
    </sheetView>
  </sheetViews>
  <sheetFormatPr defaultColWidth="9.109375" defaultRowHeight="14.4"/>
  <cols>
    <col min="1" max="1" width="3.6640625" style="53" customWidth="1"/>
    <col min="2" max="2" width="27.77734375" style="53" customWidth="1"/>
    <col min="3" max="3" width="4.88671875" style="53" customWidth="1"/>
    <col min="4" max="5" width="24" style="53" customWidth="1"/>
    <col min="6" max="6" width="5.109375" style="53" customWidth="1"/>
    <col min="7" max="7" width="8.21875" style="142" customWidth="1"/>
    <col min="8" max="8" width="0.88671875" style="53" customWidth="1"/>
    <col min="9" max="14" width="5.6640625" style="53" customWidth="1"/>
    <col min="15" max="15" width="2.44140625" style="53" customWidth="1"/>
    <col min="16" max="16" width="0.88671875" style="53" customWidth="1"/>
    <col min="17" max="17" width="28.109375" style="53" customWidth="1"/>
    <col min="18" max="18" width="4.33203125" style="53" customWidth="1"/>
    <col min="19" max="20" width="24" style="53" customWidth="1"/>
    <col min="21" max="21" width="5.109375" style="53" customWidth="1"/>
    <col min="22" max="22" width="6.88671875" style="53" customWidth="1"/>
    <col min="23" max="23" width="3.6640625" style="53" customWidth="1"/>
    <col min="24" max="16384" width="9.109375" style="53"/>
  </cols>
  <sheetData>
    <row r="1" spans="1:24" ht="23.4">
      <c r="B1" s="275" t="s">
        <v>1</v>
      </c>
      <c r="C1" s="275"/>
      <c r="D1" s="275"/>
      <c r="E1" s="270" t="s">
        <v>106</v>
      </c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54"/>
    </row>
    <row r="2" spans="1:24" ht="18">
      <c r="E2" s="271" t="s">
        <v>107</v>
      </c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55"/>
    </row>
    <row r="3" spans="1:24" ht="18">
      <c r="E3" s="271" t="s">
        <v>0</v>
      </c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55"/>
    </row>
    <row r="4" spans="1:24" ht="15" thickBot="1">
      <c r="F4" s="56"/>
      <c r="G4" s="141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1:24" ht="18.600000000000001" thickBot="1">
      <c r="B5" s="272" t="s">
        <v>39</v>
      </c>
      <c r="C5" s="273"/>
      <c r="D5" s="274"/>
      <c r="E5" s="279" t="s">
        <v>114</v>
      </c>
      <c r="F5" s="280"/>
      <c r="G5" s="281"/>
      <c r="H5" s="57"/>
      <c r="I5" s="57"/>
      <c r="J5" s="57"/>
      <c r="K5" s="57"/>
      <c r="L5" s="57"/>
      <c r="M5" s="57"/>
      <c r="N5" s="57"/>
      <c r="O5" s="57"/>
      <c r="P5" s="57"/>
      <c r="T5" s="56"/>
      <c r="U5" s="57"/>
      <c r="V5" s="57"/>
    </row>
    <row r="6" spans="1:24" ht="17.25" customHeight="1" thickBot="1">
      <c r="B6" s="87"/>
      <c r="C6" s="88"/>
      <c r="D6" s="88"/>
      <c r="E6" s="57"/>
      <c r="F6" s="57"/>
      <c r="G6" s="61"/>
      <c r="H6" s="57"/>
      <c r="I6" s="57"/>
      <c r="J6" s="57"/>
      <c r="K6" s="57"/>
      <c r="L6" s="57"/>
      <c r="M6" s="57"/>
      <c r="N6" s="57"/>
      <c r="O6" s="57"/>
      <c r="P6" s="57"/>
      <c r="T6" s="56"/>
      <c r="U6" s="57"/>
      <c r="V6" s="57"/>
    </row>
    <row r="7" spans="1:24" s="58" customFormat="1" ht="15.75" customHeight="1" thickBot="1">
      <c r="B7" s="272" t="s">
        <v>13</v>
      </c>
      <c r="C7" s="273"/>
      <c r="D7" s="274"/>
      <c r="E7" s="279">
        <v>26</v>
      </c>
      <c r="F7" s="280"/>
      <c r="G7" s="281"/>
      <c r="Q7" s="272" t="s">
        <v>2</v>
      </c>
      <c r="R7" s="273"/>
      <c r="S7" s="274"/>
      <c r="T7" s="288">
        <v>49.3</v>
      </c>
      <c r="U7" s="289"/>
      <c r="V7" s="290"/>
    </row>
    <row r="8" spans="1:24" s="58" customFormat="1" ht="15.75" customHeight="1" thickBot="1">
      <c r="B8" s="272" t="s">
        <v>3</v>
      </c>
      <c r="C8" s="273"/>
      <c r="D8" s="274"/>
      <c r="E8" s="279">
        <v>8</v>
      </c>
      <c r="F8" s="280"/>
      <c r="G8" s="281"/>
      <c r="Q8" s="272" t="s">
        <v>10</v>
      </c>
      <c r="R8" s="273"/>
      <c r="S8" s="274"/>
      <c r="T8" s="285">
        <v>0.75</v>
      </c>
      <c r="U8" s="286"/>
      <c r="V8" s="287"/>
    </row>
    <row r="9" spans="1:24" s="58" customFormat="1" ht="15.75" customHeight="1" thickBot="1">
      <c r="B9" s="272" t="s">
        <v>38</v>
      </c>
      <c r="C9" s="273"/>
      <c r="D9" s="274"/>
      <c r="E9" s="276">
        <v>3801</v>
      </c>
      <c r="F9" s="277"/>
      <c r="G9" s="278"/>
      <c r="Q9" s="272" t="s">
        <v>12</v>
      </c>
      <c r="R9" s="273"/>
      <c r="S9" s="274"/>
      <c r="T9" s="282">
        <f>IFERROR(((E7*60/T7)*T8),"")</f>
        <v>23.732251521298174</v>
      </c>
      <c r="U9" s="283"/>
      <c r="V9" s="284"/>
    </row>
    <row r="10" spans="1:24" s="58" customFormat="1" ht="15.75" customHeight="1" thickBot="1">
      <c r="B10" s="272" t="s">
        <v>40</v>
      </c>
      <c r="C10" s="273"/>
      <c r="D10" s="274"/>
      <c r="E10" s="279" t="s">
        <v>123</v>
      </c>
      <c r="F10" s="280"/>
      <c r="G10" s="281"/>
      <c r="Q10" s="272" t="s">
        <v>11</v>
      </c>
      <c r="R10" s="273"/>
      <c r="S10" s="274"/>
      <c r="T10" s="307">
        <f>T7/E7</f>
        <v>1.8961538461538461</v>
      </c>
      <c r="U10" s="308"/>
      <c r="V10" s="309"/>
    </row>
    <row r="11" spans="1:24" s="58" customFormat="1" ht="15.75" customHeight="1">
      <c r="B11" s="54"/>
      <c r="C11" s="54"/>
      <c r="D11" s="57"/>
      <c r="G11" s="61"/>
      <c r="Q11" s="151"/>
      <c r="R11" s="151"/>
      <c r="S11" s="151"/>
      <c r="T11" s="152"/>
      <c r="U11" s="59"/>
      <c r="V11" s="60"/>
      <c r="X11" s="53"/>
    </row>
    <row r="12" spans="1:24" ht="13.5" customHeight="1" thickBot="1">
      <c r="A12" s="86"/>
      <c r="B12" s="148"/>
      <c r="C12" s="148"/>
      <c r="D12" s="148"/>
      <c r="E12" s="148"/>
      <c r="F12" s="148"/>
      <c r="G12" s="149"/>
      <c r="I12" s="67"/>
      <c r="J12" s="61"/>
      <c r="K12" s="61"/>
      <c r="L12" s="61"/>
      <c r="M12" s="61"/>
      <c r="N12" s="61"/>
      <c r="O12" s="68"/>
      <c r="Q12" s="148"/>
      <c r="W12" s="86"/>
      <c r="X12" s="58"/>
    </row>
    <row r="13" spans="1:24" s="58" customFormat="1" ht="13.5" customHeight="1">
      <c r="A13" s="301"/>
      <c r="B13" s="63" t="str">
        <f>IFERROR(VLOOKUP(C13,OB!$B$1:$N$131,4,FALSE),"")</f>
        <v/>
      </c>
      <c r="C13" s="64"/>
      <c r="D13" s="264" t="str">
        <f>IFERROR(VLOOKUP(C13,OB!$B$1:$N$131,2,FALSE),"")</f>
        <v/>
      </c>
      <c r="E13" s="265"/>
      <c r="F13" s="143" t="str">
        <f>IFERROR(VLOOKUP(C13,OB!$B$1:$N$131,6,FALSE),"")</f>
        <v/>
      </c>
      <c r="G13" s="144">
        <f>SUM(F13:F18)</f>
        <v>0</v>
      </c>
      <c r="H13" s="61"/>
      <c r="I13" s="67"/>
      <c r="J13" s="61"/>
      <c r="K13" s="61"/>
      <c r="L13" s="61"/>
      <c r="M13" s="61"/>
      <c r="N13" s="61"/>
      <c r="O13" s="68"/>
      <c r="P13" s="62"/>
      <c r="Q13" s="158" t="str">
        <f>IFERROR(VLOOKUP(R13,OB!$B$1:$N$131,4,FALSE),"")</f>
        <v/>
      </c>
      <c r="R13" s="64"/>
      <c r="S13" s="264" t="str">
        <f>IFERROR(VLOOKUP(R13,OB!$B$1:$N$131,2,FALSE),"")</f>
        <v/>
      </c>
      <c r="T13" s="265"/>
      <c r="U13" s="65" t="str">
        <f>IFERROR(VLOOKUP(R13,OB!$B$1:$N$131,6,FALSE),"")</f>
        <v/>
      </c>
      <c r="V13" s="66">
        <f>SUM(U13:U18)</f>
        <v>0</v>
      </c>
      <c r="W13" s="302"/>
    </row>
    <row r="14" spans="1:24" s="58" customFormat="1" ht="13.5" customHeight="1">
      <c r="A14" s="301"/>
      <c r="B14" s="69" t="str">
        <f>IFERROR(VLOOKUP(C14,OB!$B$1:$N$131,4,FALSE),"")</f>
        <v/>
      </c>
      <c r="C14" s="70"/>
      <c r="D14" s="262" t="str">
        <f>IFERROR(VLOOKUP(C14,OB!$B$1:$N$131,2,FALSE),"")</f>
        <v/>
      </c>
      <c r="E14" s="263"/>
      <c r="F14" s="145" t="str">
        <f>IFERROR(VLOOKUP(C14,OB!$B$1:$N$131,6,FALSE),"")</f>
        <v/>
      </c>
      <c r="G14" s="268" t="str">
        <f>IFERROR(60/G13,"")</f>
        <v/>
      </c>
      <c r="H14" s="72"/>
      <c r="I14" s="67"/>
      <c r="J14" s="61"/>
      <c r="K14" s="61"/>
      <c r="L14" s="61"/>
      <c r="M14" s="61"/>
      <c r="N14" s="61"/>
      <c r="O14" s="68"/>
      <c r="P14" s="62"/>
      <c r="Q14" s="69" t="str">
        <f>IFERROR(VLOOKUP(R14,OB!$B$1:$N$131,4,FALSE),"")</f>
        <v/>
      </c>
      <c r="R14" s="70"/>
      <c r="S14" s="262" t="str">
        <f>IFERROR(VLOOKUP(R14,OB!$B$1:$N$131,2,FALSE),"")</f>
        <v/>
      </c>
      <c r="T14" s="263"/>
      <c r="U14" s="71" t="str">
        <f>IFERROR(VLOOKUP(R14,OB!$B$1:$N$131,6,FALSE),"")</f>
        <v/>
      </c>
      <c r="V14" s="266" t="str">
        <f>IFERROR(60/V13,"")</f>
        <v/>
      </c>
      <c r="W14" s="302"/>
    </row>
    <row r="15" spans="1:24" s="58" customFormat="1" ht="13.5" customHeight="1">
      <c r="A15" s="301"/>
      <c r="B15" s="69" t="str">
        <f>IFERROR(VLOOKUP(C15,OB!$B$1:$N$131,4,FALSE),"")</f>
        <v/>
      </c>
      <c r="C15" s="70" t="s">
        <v>119</v>
      </c>
      <c r="D15" s="262" t="str">
        <f>IFERROR(VLOOKUP(C15,OB!$B$1:$N$131,2,FALSE),"")</f>
        <v/>
      </c>
      <c r="E15" s="263"/>
      <c r="F15" s="145" t="str">
        <f>IFERROR(VLOOKUP(C15,OB!$B$1:$N$131,6,FALSE),"")</f>
        <v/>
      </c>
      <c r="G15" s="269"/>
      <c r="H15" s="72"/>
      <c r="I15" s="67"/>
      <c r="J15" s="61"/>
      <c r="K15" s="61"/>
      <c r="L15" s="61"/>
      <c r="M15" s="61"/>
      <c r="N15" s="61"/>
      <c r="O15" s="68"/>
      <c r="P15" s="62"/>
      <c r="Q15" s="69" t="str">
        <f>IFERROR(VLOOKUP(R15,OB!$B$1:$N$131,4,FALSE),"")</f>
        <v/>
      </c>
      <c r="R15" s="70" t="s">
        <v>119</v>
      </c>
      <c r="S15" s="262" t="str">
        <f>IFERROR(VLOOKUP(R15,OB!$B$1:$N$131,2,FALSE),"")</f>
        <v/>
      </c>
      <c r="T15" s="263"/>
      <c r="U15" s="71" t="str">
        <f>IFERROR(VLOOKUP(R15,OB!$B$1:$N$131,6,FALSE),"")</f>
        <v/>
      </c>
      <c r="V15" s="267"/>
      <c r="W15" s="302"/>
    </row>
    <row r="16" spans="1:24" s="58" customFormat="1" ht="13.5" customHeight="1">
      <c r="A16" s="301"/>
      <c r="B16" s="69" t="str">
        <f>IFERROR(VLOOKUP(C16,OB!$B$1:$N$131,4,FALSE),"")</f>
        <v/>
      </c>
      <c r="C16" s="70"/>
      <c r="D16" s="262" t="str">
        <f>IFERROR(VLOOKUP(C16,OB!$B$1:$N$131,2,FALSE),"")</f>
        <v/>
      </c>
      <c r="E16" s="263"/>
      <c r="F16" s="145" t="str">
        <f>IFERROR(VLOOKUP(C16,OB!$B$1:$N$131,6,FALSE),"")</f>
        <v/>
      </c>
      <c r="G16" s="146"/>
      <c r="H16" s="72"/>
      <c r="I16" s="67"/>
      <c r="J16" s="61"/>
      <c r="K16" s="61"/>
      <c r="L16" s="61"/>
      <c r="M16" s="61"/>
      <c r="N16" s="61"/>
      <c r="O16" s="68"/>
      <c r="P16" s="62"/>
      <c r="Q16" s="69" t="str">
        <f>IFERROR(VLOOKUP(R16,OB!$B$1:$N$131,4,FALSE),"")</f>
        <v/>
      </c>
      <c r="R16" s="70"/>
      <c r="S16" s="262" t="str">
        <f>IFERROR(VLOOKUP(R16,OB!$B$1:$N$131,2,FALSE),"")</f>
        <v/>
      </c>
      <c r="T16" s="263"/>
      <c r="U16" s="71" t="str">
        <f>IFERROR(VLOOKUP(R16,OB!$B$1:$N$131,6,FALSE),"")</f>
        <v/>
      </c>
      <c r="V16" s="73"/>
      <c r="W16" s="302"/>
    </row>
    <row r="17" spans="1:24" s="58" customFormat="1" ht="13.5" customHeight="1">
      <c r="A17" s="301"/>
      <c r="B17" s="69" t="str">
        <f>IFERROR(VLOOKUP(C17,OB!$B$1:$N$131,4,FALSE),"")</f>
        <v/>
      </c>
      <c r="C17" s="70"/>
      <c r="D17" s="291" t="str">
        <f>IFERROR(VLOOKUP(C17,OB!$B$1:$N$131,2,FALSE),"")</f>
        <v/>
      </c>
      <c r="E17" s="292"/>
      <c r="F17" s="145" t="str">
        <f>IFERROR(VLOOKUP(C17,OB!$B$1:$N$131,6,FALSE),"")</f>
        <v/>
      </c>
      <c r="G17" s="293">
        <f>IFERROR(G13/$T$10,"")</f>
        <v>0</v>
      </c>
      <c r="H17" s="74"/>
      <c r="I17" s="67"/>
      <c r="J17" s="61"/>
      <c r="K17" s="61"/>
      <c r="L17" s="61"/>
      <c r="M17" s="61"/>
      <c r="N17" s="61"/>
      <c r="O17" s="68"/>
      <c r="P17" s="62"/>
      <c r="Q17" s="69" t="str">
        <f>IFERROR(VLOOKUP(R17,OB!$B$1:$N$131,4,FALSE),"")</f>
        <v/>
      </c>
      <c r="R17" s="70"/>
      <c r="S17" s="291" t="str">
        <f>IFERROR(VLOOKUP(R17,OB!$B$1:$N$131,2,FALSE),"")</f>
        <v/>
      </c>
      <c r="T17" s="292"/>
      <c r="U17" s="71" t="str">
        <f>IFERROR(VLOOKUP(R17,OB!$B$1:$N$131,6,FALSE),"")</f>
        <v/>
      </c>
      <c r="V17" s="295">
        <f>IFERROR(V13/$T$10,"")</f>
        <v>0</v>
      </c>
      <c r="W17" s="302"/>
    </row>
    <row r="18" spans="1:24" s="58" customFormat="1" ht="13.5" customHeight="1" thickBot="1">
      <c r="A18" s="301"/>
      <c r="B18" s="75" t="str">
        <f>IFERROR(VLOOKUP(C18,OB!$B$1:$N$131,4,FALSE),"")</f>
        <v/>
      </c>
      <c r="C18" s="76"/>
      <c r="D18" s="297" t="str">
        <f>IFERROR(VLOOKUP(C18,OB!$B$1:$N$131,2,FALSE),"")</f>
        <v/>
      </c>
      <c r="E18" s="298"/>
      <c r="F18" s="147" t="str">
        <f>IFERROR(VLOOKUP(C18,OB!$B$1:$N$131,6,FALSE),"")</f>
        <v/>
      </c>
      <c r="G18" s="294"/>
      <c r="H18" s="74"/>
      <c r="I18" s="67"/>
      <c r="J18" s="61"/>
      <c r="K18" s="61"/>
      <c r="L18" s="61"/>
      <c r="M18" s="61"/>
      <c r="N18" s="61"/>
      <c r="O18" s="68"/>
      <c r="P18" s="62"/>
      <c r="Q18" s="150" t="str">
        <f>IFERROR(VLOOKUP(R18,OB!$B$1:$N$131,4,FALSE),"")</f>
        <v/>
      </c>
      <c r="R18" s="76"/>
      <c r="S18" s="297" t="str">
        <f>IFERROR(VLOOKUP(R18,OB!$B$1:$N$131,2,FALSE),"")</f>
        <v/>
      </c>
      <c r="T18" s="298"/>
      <c r="U18" s="77" t="str">
        <f>IFERROR(VLOOKUP(R18,OB!$B$1:$N$131,6,FALSE),"")</f>
        <v/>
      </c>
      <c r="V18" s="296"/>
      <c r="W18" s="302"/>
    </row>
    <row r="19" spans="1:24" ht="13.5" customHeight="1" thickBot="1">
      <c r="A19" s="86"/>
      <c r="B19" s="148"/>
      <c r="C19" s="148"/>
      <c r="D19" s="148"/>
      <c r="E19" s="148"/>
      <c r="F19" s="148"/>
      <c r="G19" s="149"/>
      <c r="I19" s="67"/>
      <c r="J19" s="61"/>
      <c r="K19" s="61"/>
      <c r="L19" s="61"/>
      <c r="M19" s="61"/>
      <c r="N19" s="61"/>
      <c r="O19" s="68"/>
      <c r="Q19" s="148"/>
      <c r="S19" s="148"/>
      <c r="T19" s="148"/>
      <c r="W19" s="86"/>
      <c r="X19" s="58"/>
    </row>
    <row r="20" spans="1:24" s="58" customFormat="1" ht="13.5" customHeight="1">
      <c r="A20" s="301"/>
      <c r="B20" s="63" t="str">
        <f>IFERROR(VLOOKUP(C20,OB!$B$1:$N$131,4,FALSE),"")</f>
        <v/>
      </c>
      <c r="C20" s="64"/>
      <c r="D20" s="264" t="str">
        <f>IFERROR(VLOOKUP(C20,OB!$B$1:$N$131,2,FALSE),"")</f>
        <v/>
      </c>
      <c r="E20" s="265"/>
      <c r="F20" s="143" t="str">
        <f>IFERROR(VLOOKUP(C20,OB!$B$1:$N$131,6,FALSE),"")</f>
        <v/>
      </c>
      <c r="G20" s="144">
        <f>SUM(F20:F25)</f>
        <v>0</v>
      </c>
      <c r="H20" s="61"/>
      <c r="I20" s="67"/>
      <c r="J20" s="61"/>
      <c r="K20" s="61"/>
      <c r="L20" s="61"/>
      <c r="M20" s="61"/>
      <c r="N20" s="61"/>
      <c r="O20" s="68"/>
      <c r="P20" s="62"/>
      <c r="Q20" s="158" t="str">
        <f>IFERROR(VLOOKUP(R20,OB!$B$1:$N$131,4,FALSE),"")</f>
        <v/>
      </c>
      <c r="R20" s="64"/>
      <c r="S20" s="264" t="str">
        <f>IFERROR(VLOOKUP(R20,OB!$B$1:$N$131,2,FALSE),"")</f>
        <v/>
      </c>
      <c r="T20" s="265"/>
      <c r="U20" s="65" t="str">
        <f>IFERROR(VLOOKUP(R20,OB!$B$1:$N$131,6,FALSE),"")</f>
        <v/>
      </c>
      <c r="V20" s="66">
        <f>SUM(U20:U25)</f>
        <v>0.24</v>
      </c>
      <c r="W20" s="302"/>
    </row>
    <row r="21" spans="1:24" s="58" customFormat="1" ht="13.5" customHeight="1">
      <c r="A21" s="301"/>
      <c r="B21" s="69" t="str">
        <f>IFERROR(VLOOKUP(C21,OB!$B$1:$N$131,4,FALSE),"")</f>
        <v/>
      </c>
      <c r="C21" s="70"/>
      <c r="D21" s="262" t="str">
        <f>IFERROR(VLOOKUP(C21,OB!$B$1:$N$131,2,FALSE),"")</f>
        <v/>
      </c>
      <c r="E21" s="263"/>
      <c r="F21" s="145" t="str">
        <f>IFERROR(VLOOKUP(C21,OB!$B$1:$N$131,6,FALSE),"")</f>
        <v/>
      </c>
      <c r="G21" s="268" t="str">
        <f>IFERROR(60/G20,"")</f>
        <v/>
      </c>
      <c r="H21" s="72"/>
      <c r="I21" s="67"/>
      <c r="J21" s="61"/>
      <c r="K21" s="61"/>
      <c r="L21" s="61"/>
      <c r="M21" s="61"/>
      <c r="N21" s="61"/>
      <c r="O21" s="68"/>
      <c r="P21" s="62"/>
      <c r="Q21" s="69" t="str">
        <f>IFERROR(VLOOKUP(R21,OB!$B$1:$N$131,4,FALSE),"")</f>
        <v>SN</v>
      </c>
      <c r="R21" s="70">
        <v>38</v>
      </c>
      <c r="S21" s="262" t="str">
        <f>IFERROR(VLOOKUP(R21,OB!$B$1:$N$131,2,FALSE),"")</f>
        <v>BACK WELT PKT BAG TACK TO TOP EDGE *2</v>
      </c>
      <c r="T21" s="263"/>
      <c r="U21" s="71">
        <f>IFERROR(VLOOKUP(R21,OB!$B$1:$N$131,6,FALSE),"")</f>
        <v>0.24</v>
      </c>
      <c r="V21" s="266">
        <f>IFERROR(60/V20,"")</f>
        <v>250</v>
      </c>
      <c r="W21" s="302"/>
    </row>
    <row r="22" spans="1:24" s="58" customFormat="1" ht="13.5" customHeight="1">
      <c r="A22" s="301"/>
      <c r="B22" s="69" t="str">
        <f>IFERROR(VLOOKUP(C22,OB!$B$1:$N$131,4,FALSE),"")</f>
        <v/>
      </c>
      <c r="C22" s="70" t="s">
        <v>105</v>
      </c>
      <c r="D22" s="262" t="str">
        <f>IFERROR(VLOOKUP(C22,OB!$B$1:$N$131,2,FALSE),"")</f>
        <v/>
      </c>
      <c r="E22" s="263"/>
      <c r="F22" s="145" t="str">
        <f>IFERROR(VLOOKUP(C22,OB!$B$1:$N$131,6,FALSE),"")</f>
        <v/>
      </c>
      <c r="G22" s="269"/>
      <c r="H22" s="72"/>
      <c r="I22" s="67"/>
      <c r="J22" s="61"/>
      <c r="K22" s="61"/>
      <c r="L22" s="61"/>
      <c r="M22" s="61"/>
      <c r="N22" s="61"/>
      <c r="O22" s="68"/>
      <c r="P22" s="62"/>
      <c r="Q22" s="69" t="str">
        <f>IFERROR(VLOOKUP(R22,OB!$B$1:$N$131,4,FALSE),"")</f>
        <v/>
      </c>
      <c r="R22" s="70">
        <v>107</v>
      </c>
      <c r="S22" s="262" t="str">
        <f>IFERROR(VLOOKUP(R22,OB!$B$1:$N$131,2,FALSE),"")</f>
        <v/>
      </c>
      <c r="T22" s="263"/>
      <c r="U22" s="71" t="str">
        <f>IFERROR(VLOOKUP(R22,OB!$B$1:$N$131,6,FALSE),"")</f>
        <v/>
      </c>
      <c r="V22" s="267"/>
      <c r="W22" s="302"/>
    </row>
    <row r="23" spans="1:24" s="58" customFormat="1" ht="13.5" customHeight="1">
      <c r="A23" s="301"/>
      <c r="B23" s="69" t="str">
        <f>IFERROR(VLOOKUP(C23,OB!$B$1:$N$131,4,FALSE),"")</f>
        <v/>
      </c>
      <c r="C23" s="70"/>
      <c r="D23" s="262" t="str">
        <f>IFERROR(VLOOKUP(C23,OB!$B$1:$N$131,2,FALSE),"")</f>
        <v/>
      </c>
      <c r="E23" s="263"/>
      <c r="F23" s="145" t="str">
        <f>IFERROR(VLOOKUP(C23,OB!$B$1:$N$131,6,FALSE),"")</f>
        <v/>
      </c>
      <c r="G23" s="146"/>
      <c r="H23" s="72"/>
      <c r="I23" s="67"/>
      <c r="J23" s="61"/>
      <c r="K23" s="61"/>
      <c r="L23" s="61"/>
      <c r="M23" s="61"/>
      <c r="N23" s="61"/>
      <c r="O23" s="68"/>
      <c r="P23" s="62"/>
      <c r="Q23" s="69" t="str">
        <f>IFERROR(VLOOKUP(R23,OB!$B$1:$N$131,4,FALSE),"")</f>
        <v/>
      </c>
      <c r="R23" s="70">
        <v>108</v>
      </c>
      <c r="S23" s="262" t="str">
        <f>IFERROR(VLOOKUP(R23,OB!$B$1:$N$131,2,FALSE),"")</f>
        <v/>
      </c>
      <c r="T23" s="263"/>
      <c r="U23" s="71" t="str">
        <f>IFERROR(VLOOKUP(R23,OB!$B$1:$N$131,6,FALSE),"")</f>
        <v/>
      </c>
      <c r="V23" s="73"/>
      <c r="W23" s="302"/>
    </row>
    <row r="24" spans="1:24" s="58" customFormat="1" ht="13.5" customHeight="1">
      <c r="A24" s="301"/>
      <c r="B24" s="69" t="str">
        <f>IFERROR(VLOOKUP(C24,OB!$B$1:$N$131,4,FALSE),"")</f>
        <v/>
      </c>
      <c r="C24" s="70"/>
      <c r="D24" s="291" t="str">
        <f>IFERROR(VLOOKUP(C24,OB!$B$1:$N$131,2,FALSE),"")</f>
        <v/>
      </c>
      <c r="E24" s="292"/>
      <c r="F24" s="145" t="str">
        <f>IFERROR(VLOOKUP(C24,OB!$B$1:$N$131,6,FALSE),"")</f>
        <v/>
      </c>
      <c r="G24" s="293">
        <f>IFERROR(G20/$T$10,"")</f>
        <v>0</v>
      </c>
      <c r="H24" s="74"/>
      <c r="I24" s="67"/>
      <c r="J24" s="61"/>
      <c r="K24" s="61"/>
      <c r="L24" s="61"/>
      <c r="M24" s="61"/>
      <c r="N24" s="61"/>
      <c r="O24" s="68"/>
      <c r="P24" s="62"/>
      <c r="Q24" s="69" t="str">
        <f>IFERROR(VLOOKUP(R24,OB!$B$1:$N$131,4,FALSE),"")</f>
        <v/>
      </c>
      <c r="R24" s="70" t="s">
        <v>118</v>
      </c>
      <c r="S24" s="291" t="str">
        <f>IFERROR(VLOOKUP(R24,OB!$B$1:$N$131,2,FALSE),"")</f>
        <v/>
      </c>
      <c r="T24" s="292"/>
      <c r="U24" s="71" t="str">
        <f>IFERROR(VLOOKUP(R24,OB!$B$1:$N$131,6,FALSE),"")</f>
        <v/>
      </c>
      <c r="V24" s="295">
        <f>IFERROR(V20/$T$10,"")</f>
        <v>0.12657200811359026</v>
      </c>
      <c r="W24" s="302"/>
    </row>
    <row r="25" spans="1:24" s="58" customFormat="1" ht="13.5" customHeight="1" thickBot="1">
      <c r="A25" s="301"/>
      <c r="B25" s="75" t="str">
        <f>IFERROR(VLOOKUP(C25,OB!$B$1:$N$131,4,FALSE),"")</f>
        <v/>
      </c>
      <c r="C25" s="76"/>
      <c r="D25" s="297" t="str">
        <f>IFERROR(VLOOKUP(C25,OB!$B$1:$N$131,2,FALSE),"")</f>
        <v/>
      </c>
      <c r="E25" s="298"/>
      <c r="F25" s="147" t="str">
        <f>IFERROR(VLOOKUP(C25,OB!$B$1:$N$131,6,FALSE),"")</f>
        <v/>
      </c>
      <c r="G25" s="294"/>
      <c r="H25" s="74"/>
      <c r="I25" s="67"/>
      <c r="J25" s="61"/>
      <c r="K25" s="61"/>
      <c r="L25" s="61"/>
      <c r="M25" s="61"/>
      <c r="N25" s="61"/>
      <c r="O25" s="68"/>
      <c r="P25" s="62"/>
      <c r="Q25" s="75" t="str">
        <f>IFERROR(VLOOKUP(R25,OB!$B$1:$N$131,4,FALSE),"")</f>
        <v/>
      </c>
      <c r="R25" s="76"/>
      <c r="S25" s="297" t="str">
        <f>IFERROR(VLOOKUP(R25,OB!$B$1:$N$131,2,FALSE),"")</f>
        <v/>
      </c>
      <c r="T25" s="298"/>
      <c r="U25" s="77" t="str">
        <f>IFERROR(VLOOKUP(R25,OB!$B$1:$N$131,6,FALSE),"")</f>
        <v/>
      </c>
      <c r="V25" s="296"/>
      <c r="W25" s="302"/>
    </row>
    <row r="26" spans="1:24" ht="13.5" customHeight="1" thickBot="1">
      <c r="A26" s="86"/>
      <c r="I26" s="67"/>
      <c r="J26" s="61"/>
      <c r="K26" s="61"/>
      <c r="L26" s="61"/>
      <c r="M26" s="61"/>
      <c r="N26" s="61"/>
      <c r="O26" s="68"/>
      <c r="S26" s="148"/>
      <c r="T26" s="148"/>
      <c r="W26" s="86"/>
      <c r="X26" s="58"/>
    </row>
    <row r="27" spans="1:24" s="58" customFormat="1" ht="13.5" customHeight="1">
      <c r="A27" s="301"/>
      <c r="B27" s="158" t="str">
        <f>IFERROR(VLOOKUP(C27,OB!$B$1:$N$131,4,FALSE),"")</f>
        <v/>
      </c>
      <c r="C27" s="64"/>
      <c r="D27" s="264" t="str">
        <f>IFERROR(VLOOKUP(C27,OB!$B$1:$N$131,2,FALSE),"")</f>
        <v/>
      </c>
      <c r="E27" s="265"/>
      <c r="F27" s="65" t="str">
        <f>IFERROR(VLOOKUP(C27,OB!$B$1:$N$131,6,FALSE),"")</f>
        <v/>
      </c>
      <c r="G27" s="66">
        <f>SUM(F27:F32)</f>
        <v>0</v>
      </c>
      <c r="H27" s="61"/>
      <c r="I27" s="67"/>
      <c r="J27" s="61"/>
      <c r="K27" s="61"/>
      <c r="L27" s="61"/>
      <c r="M27" s="61"/>
      <c r="N27" s="61"/>
      <c r="O27" s="68"/>
      <c r="P27" s="62"/>
      <c r="Q27" s="158" t="str">
        <f>IFERROR(VLOOKUP(R27,OB!$B$1:$N$131,4,FALSE),"")</f>
        <v/>
      </c>
      <c r="R27" s="64"/>
      <c r="S27" s="264" t="str">
        <f>IFERROR(VLOOKUP(R27,OB!$B$1:$N$131,2,FALSE),"")</f>
        <v/>
      </c>
      <c r="T27" s="265"/>
      <c r="U27" s="65" t="str">
        <f>IFERROR(VLOOKUP(R27,OB!$B$1:$N$131,6,FALSE),"")</f>
        <v/>
      </c>
      <c r="V27" s="66">
        <f>SUM(U27:U32)</f>
        <v>0.44000000000000006</v>
      </c>
      <c r="W27" s="302"/>
    </row>
    <row r="28" spans="1:24" s="58" customFormat="1" ht="13.5" customHeight="1">
      <c r="A28" s="301"/>
      <c r="B28" s="69" t="str">
        <f>IFERROR(VLOOKUP(C28,OB!$B$1:$N$131,4,FALSE),"")</f>
        <v/>
      </c>
      <c r="C28" s="70">
        <v>101</v>
      </c>
      <c r="D28" s="262" t="str">
        <f>IFERROR(VLOOKUP(C28,OB!$B$1:$N$131,2,FALSE),"")</f>
        <v/>
      </c>
      <c r="E28" s="263"/>
      <c r="F28" s="71" t="str">
        <f>IFERROR(VLOOKUP(C28,OB!$B$1:$N$131,6,FALSE),"")</f>
        <v/>
      </c>
      <c r="G28" s="266" t="str">
        <f>IFERROR(60/G27,"")</f>
        <v/>
      </c>
      <c r="H28" s="72"/>
      <c r="I28" s="67"/>
      <c r="J28" s="61"/>
      <c r="K28" s="61"/>
      <c r="L28" s="61"/>
      <c r="M28" s="61"/>
      <c r="N28" s="61"/>
      <c r="O28" s="68"/>
      <c r="P28" s="62"/>
      <c r="Q28" s="69" t="str">
        <f>IFERROR(VLOOKUP(R28,OB!$B$1:$N$131,4,FALSE),"")</f>
        <v/>
      </c>
      <c r="R28" s="70">
        <v>102</v>
      </c>
      <c r="S28" s="262" t="str">
        <f>IFERROR(VLOOKUP(R28,OB!$B$1:$N$131,2,FALSE),"")</f>
        <v/>
      </c>
      <c r="T28" s="263"/>
      <c r="U28" s="71" t="str">
        <f>IFERROR(VLOOKUP(R28,OB!$B$1:$N$131,6,FALSE),"")</f>
        <v/>
      </c>
      <c r="V28" s="266">
        <f>IFERROR(60/V27,"")</f>
        <v>136.36363636363635</v>
      </c>
      <c r="W28" s="302"/>
    </row>
    <row r="29" spans="1:24" s="58" customFormat="1" ht="13.5" customHeight="1">
      <c r="A29" s="301"/>
      <c r="B29" s="69" t="str">
        <f>IFERROR(VLOOKUP(C29,OB!$B$1:$N$131,4,FALSE),"")</f>
        <v/>
      </c>
      <c r="C29" s="70">
        <v>103</v>
      </c>
      <c r="D29" s="262" t="str">
        <f>IFERROR(VLOOKUP(C29,OB!$B$1:$N$131,2,FALSE),"")</f>
        <v/>
      </c>
      <c r="E29" s="263"/>
      <c r="F29" s="71" t="str">
        <f>IFERROR(VLOOKUP(C29,OB!$B$1:$N$131,6,FALSE),"")</f>
        <v/>
      </c>
      <c r="G29" s="267"/>
      <c r="H29" s="72"/>
      <c r="I29" s="67"/>
      <c r="J29" s="61"/>
      <c r="K29" s="61"/>
      <c r="L29" s="61"/>
      <c r="M29" s="61"/>
      <c r="N29" s="61"/>
      <c r="O29" s="68"/>
      <c r="P29" s="62"/>
      <c r="Q29" s="69" t="str">
        <f>IFERROR(VLOOKUP(R29,OB!$B$1:$N$131,4,FALSE),"")</f>
        <v/>
      </c>
      <c r="R29" s="70">
        <v>105</v>
      </c>
      <c r="S29" s="262" t="str">
        <f>IFERROR(VLOOKUP(R29,OB!$B$1:$N$131,2,FALSE),"")</f>
        <v/>
      </c>
      <c r="T29" s="263"/>
      <c r="U29" s="71" t="str">
        <f>IFERROR(VLOOKUP(R29,OB!$B$1:$N$131,6,FALSE),"")</f>
        <v/>
      </c>
      <c r="V29" s="267"/>
      <c r="W29" s="302"/>
    </row>
    <row r="30" spans="1:24" s="58" customFormat="1" ht="13.5" customHeight="1">
      <c r="A30" s="301"/>
      <c r="B30" s="69" t="str">
        <f>IFERROR(VLOOKUP(C30,OB!$B$1:$N$131,4,FALSE),"")</f>
        <v/>
      </c>
      <c r="C30" s="70">
        <v>106</v>
      </c>
      <c r="D30" s="262" t="str">
        <f>IFERROR(VLOOKUP(C30,OB!$B$1:$N$131,2,FALSE),"")</f>
        <v/>
      </c>
      <c r="E30" s="263"/>
      <c r="F30" s="71" t="str">
        <f>IFERROR(VLOOKUP(C30,OB!$B$1:$N$131,6,FALSE),"")</f>
        <v/>
      </c>
      <c r="G30" s="73"/>
      <c r="H30" s="72"/>
      <c r="I30" s="67"/>
      <c r="J30" s="61"/>
      <c r="K30" s="61"/>
      <c r="L30" s="61"/>
      <c r="M30" s="61"/>
      <c r="N30" s="61"/>
      <c r="O30" s="68"/>
      <c r="P30" s="62"/>
      <c r="Q30" s="69" t="str">
        <f>IFERROR(VLOOKUP(R30,OB!$B$1:$N$131,4,FALSE),"")</f>
        <v>SN</v>
      </c>
      <c r="R30" s="70">
        <v>2</v>
      </c>
      <c r="S30" s="262" t="str">
        <f>IFERROR(VLOOKUP(R30,OB!$B$1:$N$131,2,FALSE),"")</f>
        <v>IN SIDE COIN PKT ATTACH *1</v>
      </c>
      <c r="T30" s="263"/>
      <c r="U30" s="71">
        <f>IFERROR(VLOOKUP(R30,OB!$B$1:$N$131,6,FALSE),"")</f>
        <v>0.28000000000000003</v>
      </c>
      <c r="V30" s="73"/>
      <c r="W30" s="302"/>
    </row>
    <row r="31" spans="1:24" s="58" customFormat="1" ht="13.5" customHeight="1">
      <c r="A31" s="301"/>
      <c r="B31" s="69" t="str">
        <f>IFERROR(VLOOKUP(C31,OB!$B$1:$N$131,4,FALSE),"")</f>
        <v/>
      </c>
      <c r="C31" s="70"/>
      <c r="D31" s="291" t="str">
        <f>IFERROR(VLOOKUP(C31,OB!$B$1:$N$131,2,FALSE),"")</f>
        <v/>
      </c>
      <c r="E31" s="292"/>
      <c r="F31" s="71" t="str">
        <f>IFERROR(VLOOKUP(C31,OB!$B$1:$N$131,6,FALSE),"")</f>
        <v/>
      </c>
      <c r="G31" s="295">
        <f>IFERROR(G27/$T$10,"")</f>
        <v>0</v>
      </c>
      <c r="H31" s="74"/>
      <c r="I31" s="67"/>
      <c r="J31" s="61"/>
      <c r="K31" s="61"/>
      <c r="L31" s="61"/>
      <c r="M31" s="61"/>
      <c r="N31" s="61"/>
      <c r="O31" s="68"/>
      <c r="P31" s="62"/>
      <c r="Q31" s="69" t="str">
        <f>IFERROR(VLOOKUP(R31,OB!$B$1:$N$131,4,FALSE),"")</f>
        <v>SN</v>
      </c>
      <c r="R31" s="70">
        <v>3</v>
      </c>
      <c r="S31" s="291" t="str">
        <f>IFERROR(VLOOKUP(R31,OB!$B$1:$N$131,2,FALSE),"")</f>
        <v>SIDE ZIPPER EDEG TACK *2</v>
      </c>
      <c r="T31" s="292"/>
      <c r="U31" s="71">
        <f>IFERROR(VLOOKUP(R31,OB!$B$1:$N$131,6,FALSE),"")</f>
        <v>0.16</v>
      </c>
      <c r="V31" s="295">
        <f>IFERROR(V27/$T$10,"")</f>
        <v>0.2320486815415822</v>
      </c>
      <c r="W31" s="302"/>
    </row>
    <row r="32" spans="1:24" s="58" customFormat="1" ht="13.5" customHeight="1" thickBot="1">
      <c r="A32" s="301"/>
      <c r="B32" s="150" t="str">
        <f>IFERROR(VLOOKUP(C32,OB!$B$1:$N$131,4,FALSE),"")</f>
        <v/>
      </c>
      <c r="C32" s="76"/>
      <c r="D32" s="297" t="str">
        <f>IFERROR(VLOOKUP(C32,OB!$B$1:$N$131,2,FALSE),"")</f>
        <v/>
      </c>
      <c r="E32" s="298"/>
      <c r="F32" s="77" t="str">
        <f>IFERROR(VLOOKUP(C32,OB!$B$1:$N$131,6,FALSE),"")</f>
        <v/>
      </c>
      <c r="G32" s="296"/>
      <c r="H32" s="74"/>
      <c r="I32" s="67"/>
      <c r="J32" s="61"/>
      <c r="K32" s="61"/>
      <c r="L32" s="61"/>
      <c r="M32" s="61"/>
      <c r="N32" s="61"/>
      <c r="O32" s="68"/>
      <c r="P32" s="62"/>
      <c r="Q32" s="75" t="str">
        <f>IFERROR(VLOOKUP(R32,OB!$B$1:$N$131,4,FALSE),"")</f>
        <v/>
      </c>
      <c r="R32" s="76"/>
      <c r="S32" s="297" t="str">
        <f>IFERROR(VLOOKUP(R32,OB!$B$1:$N$131,2,FALSE),"")</f>
        <v/>
      </c>
      <c r="T32" s="298"/>
      <c r="U32" s="77" t="str">
        <f>IFERROR(VLOOKUP(R32,OB!$B$1:$N$131,6,FALSE),"")</f>
        <v/>
      </c>
      <c r="V32" s="296"/>
      <c r="W32" s="302"/>
    </row>
    <row r="33" spans="1:24" ht="13.5" customHeight="1" thickBot="1">
      <c r="A33" s="86"/>
      <c r="B33" s="148"/>
      <c r="D33" s="148"/>
      <c r="E33" s="148"/>
      <c r="I33" s="67"/>
      <c r="J33" s="61"/>
      <c r="K33" s="61"/>
      <c r="L33" s="61"/>
      <c r="M33" s="61"/>
      <c r="N33" s="61"/>
      <c r="O33" s="68"/>
      <c r="Q33" s="148"/>
      <c r="S33" s="148"/>
      <c r="T33" s="148"/>
      <c r="W33" s="86"/>
      <c r="X33" s="58"/>
    </row>
    <row r="34" spans="1:24" s="58" customFormat="1" ht="13.5" customHeight="1">
      <c r="A34" s="301"/>
      <c r="B34" s="63" t="str">
        <f>IFERROR(VLOOKUP(C34,OB!$B$1:$N$131,4,FALSE),"")</f>
        <v/>
      </c>
      <c r="C34" s="64"/>
      <c r="D34" s="264" t="str">
        <f>IFERROR(VLOOKUP(C34,OB!$B$1:$N$131,2,FALSE),"")</f>
        <v/>
      </c>
      <c r="E34" s="265"/>
      <c r="F34" s="65" t="str">
        <f>IFERROR(VLOOKUP(C34,OB!$B$1:$N$131,6,FALSE),"")</f>
        <v/>
      </c>
      <c r="G34" s="66">
        <f>SUM(F34:F39)</f>
        <v>0.8600000000000001</v>
      </c>
      <c r="H34" s="61"/>
      <c r="I34" s="67"/>
      <c r="J34" s="61"/>
      <c r="K34" s="61"/>
      <c r="L34" s="61"/>
      <c r="M34" s="61"/>
      <c r="N34" s="61"/>
      <c r="O34" s="68"/>
      <c r="P34" s="62"/>
      <c r="Q34" s="158" t="str">
        <f>IFERROR(VLOOKUP(R34,OB!$B$1:$N$131,4,FALSE),"")</f>
        <v/>
      </c>
      <c r="R34" s="64"/>
      <c r="S34" s="264" t="str">
        <f>IFERROR(VLOOKUP(R34,OB!$B$1:$N$131,2,FALSE),"")</f>
        <v/>
      </c>
      <c r="T34" s="265"/>
      <c r="U34" s="65" t="str">
        <f>IFERROR(VLOOKUP(R34,OB!$B$1:$N$131,6,FALSE),"")</f>
        <v/>
      </c>
      <c r="V34" s="66">
        <f>SUM(U34:U39)</f>
        <v>0</v>
      </c>
      <c r="W34" s="302"/>
    </row>
    <row r="35" spans="1:24" s="58" customFormat="1" ht="13.5" customHeight="1">
      <c r="A35" s="301"/>
      <c r="B35" s="69" t="str">
        <f>IFERROR(VLOOKUP(C35,OB!$B$1:$N$131,4,FALSE),"")</f>
        <v>SN</v>
      </c>
      <c r="C35" s="70">
        <v>4</v>
      </c>
      <c r="D35" s="262" t="str">
        <f>IFERROR(VLOOKUP(C35,OB!$B$1:$N$131,2,FALSE),"")</f>
        <v>SIDE ZIPPER PKT BAG FACIN ATTACH *1</v>
      </c>
      <c r="E35" s="263"/>
      <c r="F35" s="71">
        <f>IFERROR(VLOOKUP(C35,OB!$B$1:$N$131,6,FALSE),"")</f>
        <v>0.22</v>
      </c>
      <c r="G35" s="266">
        <f>IFERROR(60/G34,"")</f>
        <v>69.767441860465112</v>
      </c>
      <c r="H35" s="72"/>
      <c r="I35" s="67"/>
      <c r="J35" s="61"/>
      <c r="K35" s="61"/>
      <c r="L35" s="61"/>
      <c r="M35" s="61"/>
      <c r="N35" s="61"/>
      <c r="O35" s="68"/>
      <c r="P35" s="62"/>
      <c r="Q35" s="69" t="str">
        <f>IFERROR(VLOOKUP(R35,OB!$B$1:$N$131,4,FALSE),"")</f>
        <v/>
      </c>
      <c r="R35" s="70"/>
      <c r="S35" s="262" t="str">
        <f>IFERROR(VLOOKUP(R35,OB!$B$1:$N$131,2,FALSE),"")</f>
        <v/>
      </c>
      <c r="T35" s="263"/>
      <c r="U35" s="71" t="str">
        <f>IFERROR(VLOOKUP(R35,OB!$B$1:$N$131,6,FALSE),"")</f>
        <v/>
      </c>
      <c r="V35" s="266" t="str">
        <f>IFERROR(60/V34,"")</f>
        <v/>
      </c>
      <c r="W35" s="302"/>
    </row>
    <row r="36" spans="1:24" s="58" customFormat="1" ht="13.5" customHeight="1">
      <c r="A36" s="301"/>
      <c r="B36" s="69" t="str">
        <f>IFERROR(VLOOKUP(C36,OB!$B$1:$N$131,4,FALSE),"")</f>
        <v>SN</v>
      </c>
      <c r="C36" s="70">
        <v>3</v>
      </c>
      <c r="D36" s="262" t="str">
        <f>IFERROR(VLOOKUP(C36,OB!$B$1:$N$131,2,FALSE),"")</f>
        <v>SIDE ZIPPER EDEG TACK *2</v>
      </c>
      <c r="E36" s="263"/>
      <c r="F36" s="71">
        <f>IFERROR(VLOOKUP(C36,OB!$B$1:$N$131,6,FALSE),"")</f>
        <v>0.16</v>
      </c>
      <c r="G36" s="267"/>
      <c r="H36" s="72"/>
      <c r="I36" s="67"/>
      <c r="J36" s="61"/>
      <c r="K36" s="61"/>
      <c r="L36" s="61"/>
      <c r="M36" s="61"/>
      <c r="N36" s="61"/>
      <c r="O36" s="68"/>
      <c r="P36" s="62"/>
      <c r="Q36" s="69" t="str">
        <f>IFERROR(VLOOKUP(R36,OB!$B$1:$N$131,4,FALSE),"")</f>
        <v/>
      </c>
      <c r="R36" s="70">
        <v>95</v>
      </c>
      <c r="S36" s="262" t="str">
        <f>IFERROR(VLOOKUP(R36,OB!$B$1:$N$131,2,FALSE),"")</f>
        <v/>
      </c>
      <c r="T36" s="263"/>
      <c r="U36" s="71" t="str">
        <f>IFERROR(VLOOKUP(R36,OB!$B$1:$N$131,6,FALSE),"")</f>
        <v/>
      </c>
      <c r="V36" s="267"/>
      <c r="W36" s="302"/>
    </row>
    <row r="37" spans="1:24" s="58" customFormat="1" ht="13.5" customHeight="1">
      <c r="A37" s="301"/>
      <c r="B37" s="69" t="str">
        <f>IFERROR(VLOOKUP(C37,OB!$B$1:$N$131,4,FALSE),"")</f>
        <v>SN</v>
      </c>
      <c r="C37" s="70">
        <v>2</v>
      </c>
      <c r="D37" s="262" t="str">
        <f>IFERROR(VLOOKUP(C37,OB!$B$1:$N$131,2,FALSE),"")</f>
        <v>IN SIDE COIN PKT ATTACH *1</v>
      </c>
      <c r="E37" s="263"/>
      <c r="F37" s="71">
        <f>IFERROR(VLOOKUP(C37,OB!$B$1:$N$131,6,FALSE),"")</f>
        <v>0.28000000000000003</v>
      </c>
      <c r="G37" s="73"/>
      <c r="H37" s="72"/>
      <c r="I37" s="67"/>
      <c r="J37" s="61"/>
      <c r="K37" s="61"/>
      <c r="L37" s="61"/>
      <c r="M37" s="61"/>
      <c r="N37" s="61"/>
      <c r="O37" s="68"/>
      <c r="P37" s="62"/>
      <c r="Q37" s="69" t="str">
        <f>IFERROR(VLOOKUP(R37,OB!$B$1:$N$131,4,FALSE),"")</f>
        <v/>
      </c>
      <c r="R37" s="70">
        <v>96</v>
      </c>
      <c r="S37" s="262" t="str">
        <f>IFERROR(VLOOKUP(R37,OB!$B$1:$N$131,2,FALSE),"")</f>
        <v/>
      </c>
      <c r="T37" s="263"/>
      <c r="U37" s="71" t="str">
        <f>IFERROR(VLOOKUP(R37,OB!$B$1:$N$131,6,FALSE),"")</f>
        <v/>
      </c>
      <c r="V37" s="73"/>
      <c r="W37" s="302"/>
    </row>
    <row r="38" spans="1:24" s="58" customFormat="1" ht="13.5" customHeight="1">
      <c r="A38" s="301"/>
      <c r="B38" s="69" t="str">
        <f>IFERROR(VLOOKUP(C38,OB!$B$1:$N$131,4,FALSE),"")</f>
        <v>SN</v>
      </c>
      <c r="C38" s="70">
        <v>1</v>
      </c>
      <c r="D38" s="291" t="str">
        <f>IFERROR(VLOOKUP(C38,OB!$B$1:$N$131,2,FALSE),"")</f>
        <v>IN SIDE COIN PKT HEM *1</v>
      </c>
      <c r="E38" s="292"/>
      <c r="F38" s="71">
        <f>IFERROR(VLOOKUP(C38,OB!$B$1:$N$131,6,FALSE),"")</f>
        <v>0.2</v>
      </c>
      <c r="G38" s="295">
        <f>IFERROR(G34/$T$10,"")</f>
        <v>0.45354969574036519</v>
      </c>
      <c r="H38" s="74"/>
      <c r="I38" s="67"/>
      <c r="J38" s="61"/>
      <c r="K38" s="61"/>
      <c r="L38" s="61"/>
      <c r="M38" s="61"/>
      <c r="N38" s="61"/>
      <c r="O38" s="68"/>
      <c r="P38" s="62"/>
      <c r="Q38" s="69" t="str">
        <f>IFERROR(VLOOKUP(R38,OB!$B$1:$N$131,4,FALSE),"")</f>
        <v/>
      </c>
      <c r="R38" s="70"/>
      <c r="S38" s="291" t="str">
        <f>IFERROR(VLOOKUP(R38,OB!$B$1:$N$131,2,FALSE),"")</f>
        <v/>
      </c>
      <c r="T38" s="292"/>
      <c r="U38" s="71" t="str">
        <f>IFERROR(VLOOKUP(R38,OB!$B$1:$N$131,6,FALSE),"")</f>
        <v/>
      </c>
      <c r="V38" s="295">
        <f>IFERROR(V34/$T$10,"")</f>
        <v>0</v>
      </c>
      <c r="W38" s="302"/>
    </row>
    <row r="39" spans="1:24" s="58" customFormat="1" ht="13.5" customHeight="1" thickBot="1">
      <c r="A39" s="301"/>
      <c r="B39" s="150" t="str">
        <f>IFERROR(VLOOKUP(C39,OB!$B$1:$N$131,4,FALSE),"")</f>
        <v/>
      </c>
      <c r="C39" s="76"/>
      <c r="D39" s="297" t="str">
        <f>IFERROR(VLOOKUP(C39,OB!$B$1:$N$131,2,FALSE),"")</f>
        <v/>
      </c>
      <c r="E39" s="298"/>
      <c r="F39" s="77" t="str">
        <f>IFERROR(VLOOKUP(C39,OB!$B$1:$N$131,6,FALSE),"")</f>
        <v/>
      </c>
      <c r="G39" s="296"/>
      <c r="H39" s="74"/>
      <c r="I39" s="67"/>
      <c r="J39" s="61"/>
      <c r="K39" s="61"/>
      <c r="L39" s="61"/>
      <c r="M39" s="61"/>
      <c r="N39" s="61"/>
      <c r="O39" s="68"/>
      <c r="P39" s="62"/>
      <c r="Q39" s="75" t="str">
        <f>IFERROR(VLOOKUP(R39,OB!$B$1:$N$131,4,FALSE),"")</f>
        <v/>
      </c>
      <c r="R39" s="76"/>
      <c r="S39" s="297" t="str">
        <f>IFERROR(VLOOKUP(R39,OB!$B$1:$N$131,2,FALSE),"")</f>
        <v/>
      </c>
      <c r="T39" s="298"/>
      <c r="U39" s="77" t="str">
        <f>IFERROR(VLOOKUP(R39,OB!$B$1:$N$131,6,FALSE),"")</f>
        <v/>
      </c>
      <c r="V39" s="296"/>
      <c r="W39" s="302"/>
    </row>
    <row r="40" spans="1:24" ht="13.5" customHeight="1" thickBot="1">
      <c r="A40" s="86"/>
      <c r="I40" s="67"/>
      <c r="J40" s="61"/>
      <c r="K40" s="61"/>
      <c r="L40" s="61"/>
      <c r="M40" s="61"/>
      <c r="N40" s="61"/>
      <c r="O40" s="68"/>
      <c r="Q40" s="148"/>
      <c r="W40" s="86"/>
      <c r="X40" s="58"/>
    </row>
    <row r="41" spans="1:24" s="58" customFormat="1" ht="13.5" customHeight="1">
      <c r="A41" s="301"/>
      <c r="B41" s="158" t="str">
        <f>IFERROR(VLOOKUP(C41,OB!$B$1:$N$131,4,FALSE),"")</f>
        <v/>
      </c>
      <c r="C41" s="64"/>
      <c r="D41" s="264" t="str">
        <f>IFERROR(VLOOKUP(C41,OB!$B$1:$N$131,2,FALSE),"")</f>
        <v/>
      </c>
      <c r="E41" s="265"/>
      <c r="F41" s="143" t="str">
        <f>IFERROR(VLOOKUP(C41,OB!$B$1:$N$131,6,FALSE),"")</f>
        <v/>
      </c>
      <c r="G41" s="144">
        <f>SUM(F41:F47)</f>
        <v>0</v>
      </c>
      <c r="H41" s="61"/>
      <c r="I41" s="67"/>
      <c r="J41" s="61"/>
      <c r="K41" s="61"/>
      <c r="L41" s="61"/>
      <c r="M41" s="61"/>
      <c r="N41" s="61"/>
      <c r="O41" s="68"/>
      <c r="P41" s="62"/>
      <c r="Q41" s="158" t="str">
        <f>IFERROR(VLOOKUP(R41,OB!$B$1:$N$131,4,FALSE),"")</f>
        <v/>
      </c>
      <c r="R41" s="64"/>
      <c r="S41" s="264" t="str">
        <f>IFERROR(VLOOKUP(R41,OB!$B$1:$N$131,2,FALSE),"")</f>
        <v/>
      </c>
      <c r="T41" s="265"/>
      <c r="U41" s="65" t="str">
        <f>IFERROR(VLOOKUP(R41,OB!$B$1:$N$131,6,FALSE),"")</f>
        <v/>
      </c>
      <c r="V41" s="66">
        <f>SUM(U41:U47)</f>
        <v>0</v>
      </c>
      <c r="W41" s="302"/>
    </row>
    <row r="42" spans="1:24" s="58" customFormat="1" ht="13.5" customHeight="1">
      <c r="A42" s="301"/>
      <c r="B42" s="69" t="str">
        <f>IFERROR(VLOOKUP(C42,OB!$B$1:$N$131,4,FALSE),"")</f>
        <v/>
      </c>
      <c r="C42" s="70"/>
      <c r="D42" s="262" t="str">
        <f>IFERROR(VLOOKUP(C42,OB!$B$1:$N$131,2,FALSE),"")</f>
        <v/>
      </c>
      <c r="E42" s="263"/>
      <c r="F42" s="145" t="str">
        <f>IFERROR(VLOOKUP(C42,OB!$B$1:$N$131,6,FALSE),"")</f>
        <v/>
      </c>
      <c r="G42" s="268" t="str">
        <f>IFERROR(60/G41,"")</f>
        <v/>
      </c>
      <c r="H42" s="72"/>
      <c r="I42" s="67"/>
      <c r="J42" s="61"/>
      <c r="K42" s="61"/>
      <c r="L42" s="61"/>
      <c r="M42" s="61"/>
      <c r="N42" s="61"/>
      <c r="O42" s="68"/>
      <c r="P42" s="62"/>
      <c r="Q42" s="69" t="str">
        <f>IFERROR(VLOOKUP(R42,OB!$B$1:$N$131,4,FALSE),"")</f>
        <v/>
      </c>
      <c r="R42" s="70"/>
      <c r="S42" s="262" t="str">
        <f>IFERROR(VLOOKUP(R42,OB!$B$1:$N$131,2,FALSE),"")</f>
        <v/>
      </c>
      <c r="T42" s="263"/>
      <c r="U42" s="71" t="str">
        <f>IFERROR(VLOOKUP(R42,OB!$B$1:$N$131,6,FALSE),"")</f>
        <v/>
      </c>
      <c r="V42" s="266" t="str">
        <f>IFERROR(60/V41,"")</f>
        <v/>
      </c>
      <c r="W42" s="302"/>
    </row>
    <row r="43" spans="1:24" s="58" customFormat="1" ht="13.5" customHeight="1">
      <c r="A43" s="301"/>
      <c r="B43" s="69" t="str">
        <f>IFERROR(VLOOKUP(C43,OB!$B$1:$N$131,4,FALSE),"")</f>
        <v/>
      </c>
      <c r="C43" s="70">
        <v>98</v>
      </c>
      <c r="D43" s="262" t="str">
        <f>IFERROR(VLOOKUP(C43,OB!$B$1:$N$131,2,FALSE),"")</f>
        <v/>
      </c>
      <c r="E43" s="263"/>
      <c r="F43" s="145" t="str">
        <f>IFERROR(VLOOKUP(C43,OB!$B$1:$N$131,6,FALSE),"")</f>
        <v/>
      </c>
      <c r="G43" s="269"/>
      <c r="H43" s="72"/>
      <c r="I43" s="67"/>
      <c r="J43" s="61"/>
      <c r="K43" s="61"/>
      <c r="L43" s="61"/>
      <c r="M43" s="61"/>
      <c r="N43" s="61"/>
      <c r="O43" s="68"/>
      <c r="P43" s="62"/>
      <c r="Q43" s="69" t="str">
        <f>IFERROR(VLOOKUP(R43,OB!$B$1:$N$131,4,FALSE),"")</f>
        <v/>
      </c>
      <c r="R43" s="70">
        <v>78</v>
      </c>
      <c r="S43" s="262" t="str">
        <f>IFERROR(VLOOKUP(R43,OB!$B$1:$N$131,2,FALSE),"")</f>
        <v/>
      </c>
      <c r="T43" s="263"/>
      <c r="U43" s="71" t="str">
        <f>IFERROR(VLOOKUP(R43,OB!$B$1:$N$131,6,FALSE),"")</f>
        <v/>
      </c>
      <c r="V43" s="267"/>
      <c r="W43" s="302"/>
    </row>
    <row r="44" spans="1:24" s="58" customFormat="1" ht="13.5" customHeight="1">
      <c r="A44" s="301"/>
      <c r="B44" s="69" t="str">
        <f>IFERROR(VLOOKUP(C44,OB!$B$1:$N$131,4,FALSE),"")</f>
        <v/>
      </c>
      <c r="C44" s="70" t="s">
        <v>102</v>
      </c>
      <c r="D44" s="262" t="str">
        <f>IFERROR(VLOOKUP(C44,OB!$B$1:$N$131,2,FALSE),"")</f>
        <v/>
      </c>
      <c r="E44" s="263"/>
      <c r="F44" s="145" t="str">
        <f>IFERROR(VLOOKUP(C44,OB!$B$1:$N$131,6,FALSE),"")</f>
        <v/>
      </c>
      <c r="G44" s="146"/>
      <c r="H44" s="72"/>
      <c r="I44" s="67"/>
      <c r="J44" s="61"/>
      <c r="K44" s="61"/>
      <c r="L44" s="61"/>
      <c r="M44" s="61"/>
      <c r="N44" s="61"/>
      <c r="O44" s="68"/>
      <c r="P44" s="62"/>
      <c r="Q44" s="69" t="str">
        <f>IFERROR(VLOOKUP(R44,OB!$B$1:$N$131,4,FALSE),"")</f>
        <v/>
      </c>
      <c r="R44" s="70"/>
      <c r="S44" s="262" t="str">
        <f>IFERROR(VLOOKUP(R44,OB!$B$1:$N$131,2,FALSE),"")</f>
        <v/>
      </c>
      <c r="T44" s="263"/>
      <c r="U44" s="71" t="str">
        <f>IFERROR(VLOOKUP(R44,OB!$B$1:$N$131,6,FALSE),"")</f>
        <v/>
      </c>
      <c r="V44" s="73"/>
      <c r="W44" s="302"/>
    </row>
    <row r="45" spans="1:24" s="58" customFormat="1" ht="13.5" customHeight="1">
      <c r="A45" s="301"/>
      <c r="B45" s="69" t="str">
        <f>IFERROR(VLOOKUP(C45,OB!$B$1:$N$131,4,FALSE),"")</f>
        <v/>
      </c>
      <c r="C45" s="70"/>
      <c r="D45" s="262" t="str">
        <f>IFERROR(VLOOKUP(C45,OB!$B$1:$N$131,2,FALSE),"")</f>
        <v/>
      </c>
      <c r="E45" s="263"/>
      <c r="F45" s="145" t="str">
        <f>IFERROR(VLOOKUP(C45,OB!$B$1:$N$131,6,FALSE),"")</f>
        <v/>
      </c>
      <c r="G45" s="146"/>
      <c r="H45" s="72"/>
      <c r="I45" s="67"/>
      <c r="J45" s="61"/>
      <c r="K45" s="61"/>
      <c r="L45" s="61"/>
      <c r="M45" s="61"/>
      <c r="N45" s="61"/>
      <c r="O45" s="68"/>
      <c r="P45" s="62"/>
      <c r="Q45" s="69" t="str">
        <f>IFERROR(VLOOKUP(R45,OB!$B$1:$N$131,4,FALSE),"")</f>
        <v/>
      </c>
      <c r="R45" s="70"/>
      <c r="S45" s="262" t="str">
        <f>IFERROR(VLOOKUP(R45,OB!$B$1:$N$131,2,FALSE),"")</f>
        <v/>
      </c>
      <c r="T45" s="263"/>
      <c r="U45" s="71" t="str">
        <f>IFERROR(VLOOKUP(R45,OB!$B$1:$N$131,6,FALSE),"")</f>
        <v/>
      </c>
      <c r="V45" s="73"/>
      <c r="W45" s="302"/>
    </row>
    <row r="46" spans="1:24" s="58" customFormat="1" ht="13.5" customHeight="1">
      <c r="A46" s="301"/>
      <c r="B46" s="69" t="str">
        <f>IFERROR(VLOOKUP(C46,OB!$B$1:$N$131,4,FALSE),"")</f>
        <v/>
      </c>
      <c r="C46" s="70"/>
      <c r="D46" s="291" t="str">
        <f>IFERROR(VLOOKUP(C46,OB!$B$1:$N$131,2,FALSE),"")</f>
        <v/>
      </c>
      <c r="E46" s="292"/>
      <c r="F46" s="145" t="str">
        <f>IFERROR(VLOOKUP(C46,OB!$B$1:$N$131,6,FALSE),"")</f>
        <v/>
      </c>
      <c r="G46" s="293">
        <f>IFERROR(G41/$T$10,"")</f>
        <v>0</v>
      </c>
      <c r="H46" s="74"/>
      <c r="I46" s="67"/>
      <c r="J46" s="61"/>
      <c r="K46" s="61"/>
      <c r="L46" s="61"/>
      <c r="M46" s="61"/>
      <c r="N46" s="61"/>
      <c r="O46" s="68"/>
      <c r="P46" s="62"/>
      <c r="Q46" s="69" t="str">
        <f>IFERROR(VLOOKUP(R46,OB!$B$1:$N$131,4,FALSE),"")</f>
        <v/>
      </c>
      <c r="R46" s="70"/>
      <c r="S46" s="291" t="str">
        <f>IFERROR(VLOOKUP(R46,OB!$B$1:$N$131,2,FALSE),"")</f>
        <v/>
      </c>
      <c r="T46" s="292"/>
      <c r="U46" s="71" t="str">
        <f>IFERROR(VLOOKUP(R46,OB!$B$1:$N$131,6,FALSE),"")</f>
        <v/>
      </c>
      <c r="V46" s="295">
        <f>IFERROR(V41/$T$10,"")</f>
        <v>0</v>
      </c>
      <c r="W46" s="302"/>
    </row>
    <row r="47" spans="1:24" s="58" customFormat="1" ht="13.5" customHeight="1" thickBot="1">
      <c r="A47" s="301"/>
      <c r="B47" s="75" t="str">
        <f>IFERROR(VLOOKUP(C47,OB!$B$1:$N$131,4,FALSE),"")</f>
        <v/>
      </c>
      <c r="C47" s="76"/>
      <c r="D47" s="297" t="str">
        <f>IFERROR(VLOOKUP(C47,OB!$B$1:$N$131,2,FALSE),"")</f>
        <v/>
      </c>
      <c r="E47" s="298"/>
      <c r="F47" s="147" t="str">
        <f>IFERROR(VLOOKUP(C47,OB!$B$1:$N$131,6,FALSE),"")</f>
        <v/>
      </c>
      <c r="G47" s="294"/>
      <c r="H47" s="74"/>
      <c r="I47" s="67"/>
      <c r="J47" s="61"/>
      <c r="K47" s="61"/>
      <c r="L47" s="61"/>
      <c r="M47" s="61"/>
      <c r="N47" s="61"/>
      <c r="O47" s="68"/>
      <c r="P47" s="62"/>
      <c r="Q47" s="150" t="str">
        <f>IFERROR(VLOOKUP(R47,OB!$B$1:$N$131,4,FALSE),"")</f>
        <v/>
      </c>
      <c r="R47" s="76"/>
      <c r="S47" s="297" t="str">
        <f>IFERROR(VLOOKUP(R47,OB!$B$1:$N$131,2,FALSE),"")</f>
        <v/>
      </c>
      <c r="T47" s="298"/>
      <c r="U47" s="77" t="str">
        <f>IFERROR(VLOOKUP(R47,OB!$B$1:$N$131,6,FALSE),"")</f>
        <v/>
      </c>
      <c r="V47" s="296"/>
      <c r="W47" s="302"/>
    </row>
    <row r="48" spans="1:24" ht="13.5" customHeight="1" thickBot="1">
      <c r="A48" s="86"/>
      <c r="I48" s="67"/>
      <c r="J48" s="61"/>
      <c r="K48" s="61"/>
      <c r="L48" s="61"/>
      <c r="M48" s="61"/>
      <c r="N48" s="61"/>
      <c r="O48" s="68"/>
      <c r="S48" s="148"/>
      <c r="T48" s="148"/>
      <c r="W48" s="86"/>
      <c r="X48" s="58"/>
    </row>
    <row r="49" spans="1:24" s="58" customFormat="1" ht="13.5" customHeight="1">
      <c r="A49" s="301"/>
      <c r="B49" s="63" t="str">
        <f>IFERROR(VLOOKUP(C49,OB!$B$1:$N$131,4,FALSE),"")</f>
        <v/>
      </c>
      <c r="C49" s="64"/>
      <c r="D49" s="264" t="str">
        <f>IFERROR(VLOOKUP(C49,OB!$B$1:$N$131,2,FALSE),"")</f>
        <v/>
      </c>
      <c r="E49" s="265"/>
      <c r="F49" s="65" t="str">
        <f>IFERROR(VLOOKUP(C49,OB!$B$1:$N$131,6,FALSE),"")</f>
        <v/>
      </c>
      <c r="G49" s="66">
        <f>SUM(F49:F54)</f>
        <v>0</v>
      </c>
      <c r="H49" s="61"/>
      <c r="I49" s="67"/>
      <c r="J49" s="61"/>
      <c r="K49" s="61"/>
      <c r="L49" s="61"/>
      <c r="M49" s="61"/>
      <c r="N49" s="61"/>
      <c r="O49" s="68"/>
      <c r="P49" s="62"/>
      <c r="Q49" s="158" t="str">
        <f>IFERROR(VLOOKUP(R49,OB!$B$1:$N$131,4,FALSE),"")</f>
        <v/>
      </c>
      <c r="R49" s="64"/>
      <c r="S49" s="264" t="str">
        <f>IFERROR(VLOOKUP(R49,OB!$B$1:$N$131,2,FALSE),"")</f>
        <v/>
      </c>
      <c r="T49" s="265"/>
      <c r="U49" s="65" t="str">
        <f>IFERROR(VLOOKUP(R49,OB!$B$1:$N$131,6,FALSE),"")</f>
        <v/>
      </c>
      <c r="V49" s="66">
        <f>SUM(U49:U54)</f>
        <v>0</v>
      </c>
      <c r="W49" s="302"/>
    </row>
    <row r="50" spans="1:24" s="58" customFormat="1" ht="13.5" customHeight="1">
      <c r="A50" s="301"/>
      <c r="B50" s="69" t="str">
        <f>IFERROR(VLOOKUP(C50,OB!$B$1:$N$131,4,FALSE),"")</f>
        <v/>
      </c>
      <c r="C50" s="70">
        <v>71</v>
      </c>
      <c r="D50" s="262" t="str">
        <f>IFERROR(VLOOKUP(C50,OB!$B$1:$N$131,2,FALSE),"")</f>
        <v/>
      </c>
      <c r="E50" s="263"/>
      <c r="F50" s="71" t="str">
        <f>IFERROR(VLOOKUP(C50,OB!$B$1:$N$131,6,FALSE),"")</f>
        <v/>
      </c>
      <c r="G50" s="266" t="str">
        <f>IFERROR(60/G49,"")</f>
        <v/>
      </c>
      <c r="H50" s="72"/>
      <c r="I50" s="67"/>
      <c r="J50" s="61"/>
      <c r="K50" s="61"/>
      <c r="L50" s="61"/>
      <c r="M50" s="61"/>
      <c r="N50" s="61"/>
      <c r="O50" s="68"/>
      <c r="P50" s="62"/>
      <c r="Q50" s="69" t="str">
        <f>IFERROR(VLOOKUP(R50,OB!$B$1:$N$131,4,FALSE),"")</f>
        <v/>
      </c>
      <c r="R50" s="70">
        <v>89</v>
      </c>
      <c r="S50" s="262" t="str">
        <f>IFERROR(VLOOKUP(R50,OB!$B$1:$N$131,2,FALSE),"")</f>
        <v/>
      </c>
      <c r="T50" s="263"/>
      <c r="U50" s="71" t="str">
        <f>IFERROR(VLOOKUP(R50,OB!$B$1:$N$131,6,FALSE),"")</f>
        <v/>
      </c>
      <c r="V50" s="266" t="str">
        <f>IFERROR(60/V49,"")</f>
        <v/>
      </c>
      <c r="W50" s="302"/>
    </row>
    <row r="51" spans="1:24" s="58" customFormat="1" ht="13.5" customHeight="1">
      <c r="A51" s="301"/>
      <c r="B51" s="69" t="str">
        <f>IFERROR(VLOOKUP(C51,OB!$B$1:$N$131,4,FALSE),"")</f>
        <v/>
      </c>
      <c r="C51" s="70">
        <v>93</v>
      </c>
      <c r="D51" s="262" t="str">
        <f>IFERROR(VLOOKUP(C51,OB!$B$1:$N$131,2,FALSE),"")</f>
        <v/>
      </c>
      <c r="E51" s="263"/>
      <c r="F51" s="71" t="str">
        <f>IFERROR(VLOOKUP(C51,OB!$B$1:$N$131,6,FALSE),"")</f>
        <v/>
      </c>
      <c r="G51" s="267"/>
      <c r="H51" s="72"/>
      <c r="I51" s="67"/>
      <c r="J51" s="61"/>
      <c r="K51" s="61"/>
      <c r="L51" s="61"/>
      <c r="M51" s="61"/>
      <c r="N51" s="61"/>
      <c r="O51" s="68"/>
      <c r="P51" s="62"/>
      <c r="Q51" s="69" t="str">
        <f>IFERROR(VLOOKUP(R51,OB!$B$1:$N$131,4,FALSE),"")</f>
        <v/>
      </c>
      <c r="R51" s="70">
        <v>90</v>
      </c>
      <c r="S51" s="262" t="str">
        <f>IFERROR(VLOOKUP(R51,OB!$B$1:$N$131,2,FALSE),"")</f>
        <v/>
      </c>
      <c r="T51" s="263"/>
      <c r="U51" s="71" t="str">
        <f>IFERROR(VLOOKUP(R51,OB!$B$1:$N$131,6,FALSE),"")</f>
        <v/>
      </c>
      <c r="V51" s="267"/>
      <c r="W51" s="302"/>
    </row>
    <row r="52" spans="1:24" s="58" customFormat="1" ht="13.5" customHeight="1">
      <c r="A52" s="301"/>
      <c r="B52" s="69" t="str">
        <f>IFERROR(VLOOKUP(C52,OB!$B$1:$N$131,4,FALSE),"")</f>
        <v/>
      </c>
      <c r="C52" s="70">
        <v>94</v>
      </c>
      <c r="D52" s="262" t="str">
        <f>IFERROR(VLOOKUP(C52,OB!$B$1:$N$131,2,FALSE),"")</f>
        <v/>
      </c>
      <c r="E52" s="263"/>
      <c r="F52" s="71" t="str">
        <f>IFERROR(VLOOKUP(C52,OB!$B$1:$N$131,6,FALSE),"")</f>
        <v/>
      </c>
      <c r="G52" s="73"/>
      <c r="H52" s="72"/>
      <c r="I52" s="67"/>
      <c r="J52" s="61"/>
      <c r="K52" s="61"/>
      <c r="L52" s="61"/>
      <c r="M52" s="61"/>
      <c r="N52" s="61"/>
      <c r="O52" s="68"/>
      <c r="P52" s="62"/>
      <c r="Q52" s="69" t="str">
        <f>IFERROR(VLOOKUP(R52,OB!$B$1:$N$131,4,FALSE),"")</f>
        <v/>
      </c>
      <c r="R52" s="70">
        <v>91</v>
      </c>
      <c r="S52" s="262" t="str">
        <f>IFERROR(VLOOKUP(R52,OB!$B$1:$N$131,2,FALSE),"")</f>
        <v/>
      </c>
      <c r="T52" s="263"/>
      <c r="U52" s="71" t="str">
        <f>IFERROR(VLOOKUP(R52,OB!$B$1:$N$131,6,FALSE),"")</f>
        <v/>
      </c>
      <c r="V52" s="73"/>
      <c r="W52" s="302"/>
    </row>
    <row r="53" spans="1:24" s="58" customFormat="1" ht="13.5" customHeight="1">
      <c r="A53" s="301"/>
      <c r="B53" s="69" t="str">
        <f>IFERROR(VLOOKUP(C53,OB!$B$1:$N$131,4,FALSE),"")</f>
        <v/>
      </c>
      <c r="C53" s="70"/>
      <c r="D53" s="291" t="str">
        <f>IFERROR(VLOOKUP(C53,OB!$B$1:$N$131,2,FALSE),"")</f>
        <v/>
      </c>
      <c r="E53" s="292"/>
      <c r="F53" s="71" t="str">
        <f>IFERROR(VLOOKUP(C53,OB!$B$1:$N$131,6,FALSE),"")</f>
        <v/>
      </c>
      <c r="G53" s="295">
        <f>IFERROR(G49/$T$10,"")</f>
        <v>0</v>
      </c>
      <c r="H53" s="74"/>
      <c r="I53" s="67"/>
      <c r="J53" s="61"/>
      <c r="K53" s="61"/>
      <c r="L53" s="61"/>
      <c r="M53" s="61"/>
      <c r="N53" s="61"/>
      <c r="O53" s="68"/>
      <c r="P53" s="62"/>
      <c r="Q53" s="69" t="str">
        <f>IFERROR(VLOOKUP(R53,OB!$B$1:$N$131,4,FALSE),"")</f>
        <v/>
      </c>
      <c r="R53" s="70">
        <v>92</v>
      </c>
      <c r="S53" s="291" t="str">
        <f>IFERROR(VLOOKUP(R53,OB!$B$1:$N$131,2,FALSE),"")</f>
        <v/>
      </c>
      <c r="T53" s="292"/>
      <c r="U53" s="71" t="str">
        <f>IFERROR(VLOOKUP(R53,OB!$B$1:$N$131,6,FALSE),"")</f>
        <v/>
      </c>
      <c r="V53" s="295">
        <f>IFERROR(V49/$T$10,"")</f>
        <v>0</v>
      </c>
      <c r="W53" s="302"/>
    </row>
    <row r="54" spans="1:24" s="58" customFormat="1" ht="13.5" customHeight="1" thickBot="1">
      <c r="A54" s="301"/>
      <c r="B54" s="75" t="str">
        <f>IFERROR(VLOOKUP(C54,OB!$B$1:$N$131,4,FALSE),"")</f>
        <v/>
      </c>
      <c r="C54" s="76"/>
      <c r="D54" s="297" t="str">
        <f>IFERROR(VLOOKUP(C54,OB!$B$1:$N$131,2,FALSE),"")</f>
        <v/>
      </c>
      <c r="E54" s="298"/>
      <c r="F54" s="77" t="str">
        <f>IFERROR(VLOOKUP(C54,OB!$B$1:$N$131,6,FALSE),"")</f>
        <v/>
      </c>
      <c r="G54" s="296"/>
      <c r="H54" s="74"/>
      <c r="I54" s="67"/>
      <c r="J54" s="61"/>
      <c r="K54" s="61"/>
      <c r="L54" s="61"/>
      <c r="M54" s="61"/>
      <c r="N54" s="61"/>
      <c r="O54" s="68"/>
      <c r="P54" s="62"/>
      <c r="Q54" s="150" t="str">
        <f>IFERROR(VLOOKUP(R54,OB!$B$1:$N$131,4,FALSE),"")</f>
        <v/>
      </c>
      <c r="R54" s="76"/>
      <c r="S54" s="297" t="str">
        <f>IFERROR(VLOOKUP(R54,OB!$B$1:$N$131,2,FALSE),"")</f>
        <v/>
      </c>
      <c r="T54" s="298"/>
      <c r="U54" s="77" t="str">
        <f>IFERROR(VLOOKUP(R54,OB!$B$1:$N$131,6,FALSE),"")</f>
        <v/>
      </c>
      <c r="V54" s="296"/>
      <c r="W54" s="302"/>
    </row>
    <row r="55" spans="1:24" ht="13.5" customHeight="1" thickBot="1">
      <c r="A55" s="86"/>
      <c r="B55" s="148"/>
      <c r="D55" s="148"/>
      <c r="E55" s="148"/>
      <c r="I55" s="67"/>
      <c r="J55" s="61"/>
      <c r="K55" s="61"/>
      <c r="L55" s="61"/>
      <c r="M55" s="61"/>
      <c r="N55" s="61"/>
      <c r="O55" s="68"/>
      <c r="Q55" s="148"/>
      <c r="S55" s="148"/>
      <c r="T55" s="148"/>
      <c r="W55" s="86"/>
      <c r="X55" s="58"/>
    </row>
    <row r="56" spans="1:24" s="58" customFormat="1" ht="13.5" customHeight="1">
      <c r="A56" s="301"/>
      <c r="B56" s="158" t="str">
        <f>IFERROR(VLOOKUP(C56,OB!$B$1:$N$131,4,FALSE),"")</f>
        <v/>
      </c>
      <c r="C56" s="64"/>
      <c r="D56" s="264" t="str">
        <f>IFERROR(VLOOKUP(C56,OB!$B$1:$N$131,2,FALSE),"")</f>
        <v/>
      </c>
      <c r="E56" s="265"/>
      <c r="F56" s="65" t="str">
        <f>IFERROR(VLOOKUP(C56,OB!$B$1:$N$131,6,FALSE),"")</f>
        <v/>
      </c>
      <c r="G56" s="66">
        <f>SUM(F56:F61)</f>
        <v>0</v>
      </c>
      <c r="H56" s="61"/>
      <c r="I56" s="67"/>
      <c r="J56" s="61"/>
      <c r="K56" s="61"/>
      <c r="L56" s="61"/>
      <c r="M56" s="61"/>
      <c r="N56" s="61"/>
      <c r="O56" s="68"/>
      <c r="P56" s="62"/>
      <c r="Q56" s="158" t="str">
        <f>IFERROR(VLOOKUP(R56,OB!$B$1:$N$131,4,FALSE),"")</f>
        <v/>
      </c>
      <c r="R56" s="64"/>
      <c r="S56" s="264" t="str">
        <f>IFERROR(VLOOKUP(R56,OB!$B$1:$N$131,2,FALSE),"")</f>
        <v/>
      </c>
      <c r="T56" s="265"/>
      <c r="U56" s="65" t="str">
        <f>IFERROR(VLOOKUP(R56,OB!$B$1:$N$131,6,FALSE),"")</f>
        <v/>
      </c>
      <c r="V56" s="66">
        <f>SUM(U56:U61)</f>
        <v>1.04</v>
      </c>
      <c r="W56" s="302"/>
    </row>
    <row r="57" spans="1:24" s="58" customFormat="1" ht="13.5" customHeight="1">
      <c r="A57" s="301"/>
      <c r="B57" s="69" t="str">
        <f>IFERROR(VLOOKUP(C57,OB!$B$1:$N$131,4,FALSE),"")</f>
        <v/>
      </c>
      <c r="C57" s="70"/>
      <c r="D57" s="262" t="str">
        <f>IFERROR(VLOOKUP(C57,OB!$B$1:$N$131,2,FALSE),"")</f>
        <v/>
      </c>
      <c r="E57" s="263"/>
      <c r="F57" s="71" t="str">
        <f>IFERROR(VLOOKUP(C57,OB!$B$1:$N$131,6,FALSE),"")</f>
        <v/>
      </c>
      <c r="G57" s="266" t="str">
        <f>IFERROR(60/G56,"")</f>
        <v/>
      </c>
      <c r="H57" s="72"/>
      <c r="I57" s="67"/>
      <c r="J57" s="61"/>
      <c r="K57" s="61"/>
      <c r="L57" s="61"/>
      <c r="M57" s="61"/>
      <c r="N57" s="61"/>
      <c r="O57" s="68"/>
      <c r="P57" s="62"/>
      <c r="Q57" s="69" t="str">
        <f>IFERROR(VLOOKUP(R57,OB!$B$1:$N$131,4,FALSE),"")</f>
        <v/>
      </c>
      <c r="R57" s="70"/>
      <c r="S57" s="262" t="str">
        <f>IFERROR(VLOOKUP(R57,OB!$B$1:$N$131,2,FALSE),"")</f>
        <v/>
      </c>
      <c r="T57" s="263"/>
      <c r="U57" s="71" t="str">
        <f>IFERROR(VLOOKUP(R57,OB!$B$1:$N$131,6,FALSE),"")</f>
        <v/>
      </c>
      <c r="V57" s="266">
        <f>IFERROR(60/V56,"")</f>
        <v>57.692307692307693</v>
      </c>
      <c r="W57" s="302"/>
    </row>
    <row r="58" spans="1:24" s="58" customFormat="1" ht="13.5" customHeight="1">
      <c r="A58" s="301"/>
      <c r="B58" s="69" t="str">
        <f>IFERROR(VLOOKUP(C58,OB!$B$1:$N$131,4,FALSE),"")</f>
        <v/>
      </c>
      <c r="C58" s="70">
        <v>64</v>
      </c>
      <c r="D58" s="262" t="str">
        <f>IFERROR(VLOOKUP(C58,OB!$B$1:$N$131,2,FALSE),"")</f>
        <v/>
      </c>
      <c r="E58" s="263"/>
      <c r="F58" s="71" t="str">
        <f>IFERROR(VLOOKUP(C58,OB!$B$1:$N$131,6,FALSE),"")</f>
        <v/>
      </c>
      <c r="G58" s="267"/>
      <c r="H58" s="72"/>
      <c r="I58" s="67"/>
      <c r="J58" s="61"/>
      <c r="K58" s="61"/>
      <c r="L58" s="61"/>
      <c r="M58" s="61"/>
      <c r="N58" s="61"/>
      <c r="O58" s="68"/>
      <c r="P58" s="62"/>
      <c r="Q58" s="69" t="str">
        <f>IFERROR(VLOOKUP(R58,OB!$B$1:$N$131,4,FALSE),"")</f>
        <v>IRON</v>
      </c>
      <c r="R58" s="70" t="s">
        <v>97</v>
      </c>
      <c r="S58" s="262" t="str">
        <f>IFERROR(VLOOKUP(R58,OB!$B$1:$N$131,2,FALSE),"")</f>
        <v>BACK WELT FINISH IRON *2</v>
      </c>
      <c r="T58" s="263"/>
      <c r="U58" s="71">
        <f>IFERROR(VLOOKUP(R58,OB!$B$1:$N$131,6,FALSE),"")</f>
        <v>0.4</v>
      </c>
      <c r="V58" s="267"/>
      <c r="W58" s="302"/>
    </row>
    <row r="59" spans="1:24" s="58" customFormat="1" ht="13.5" customHeight="1">
      <c r="A59" s="301"/>
      <c r="B59" s="69" t="str">
        <f>IFERROR(VLOOKUP(C59,OB!$B$1:$N$131,4,FALSE),"")</f>
        <v/>
      </c>
      <c r="C59" s="70">
        <v>87</v>
      </c>
      <c r="D59" s="262" t="str">
        <f>IFERROR(VLOOKUP(C59,OB!$B$1:$N$131,2,FALSE),"")</f>
        <v/>
      </c>
      <c r="E59" s="263"/>
      <c r="F59" s="71" t="str">
        <f>IFERROR(VLOOKUP(C59,OB!$B$1:$N$131,6,FALSE),"")</f>
        <v/>
      </c>
      <c r="G59" s="73"/>
      <c r="H59" s="72"/>
      <c r="I59" s="67"/>
      <c r="J59" s="61"/>
      <c r="K59" s="61"/>
      <c r="L59" s="61"/>
      <c r="M59" s="61"/>
      <c r="N59" s="61"/>
      <c r="O59" s="68"/>
      <c r="P59" s="62"/>
      <c r="Q59" s="69" t="str">
        <f>IFERROR(VLOOKUP(R59,OB!$B$1:$N$131,4,FALSE),"")</f>
        <v>IRON</v>
      </c>
      <c r="R59" s="70" t="s">
        <v>98</v>
      </c>
      <c r="S59" s="262" t="str">
        <f>IFERROR(VLOOKUP(R59,OB!$B$1:$N$131,2,FALSE),"")</f>
        <v>WAIST BAND IRON *2</v>
      </c>
      <c r="T59" s="263"/>
      <c r="U59" s="71">
        <f>IFERROR(VLOOKUP(R59,OB!$B$1:$N$131,6,FALSE),"")</f>
        <v>0.64</v>
      </c>
      <c r="V59" s="73"/>
      <c r="W59" s="302"/>
    </row>
    <row r="60" spans="1:24" s="58" customFormat="1" ht="13.5" customHeight="1">
      <c r="A60" s="301"/>
      <c r="B60" s="69" t="str">
        <f>IFERROR(VLOOKUP(C60,OB!$B$1:$N$131,4,FALSE),"")</f>
        <v/>
      </c>
      <c r="C60" s="70">
        <v>88</v>
      </c>
      <c r="D60" s="291" t="str">
        <f>IFERROR(VLOOKUP(C60,OB!$B$1:$N$131,2,FALSE),"")</f>
        <v/>
      </c>
      <c r="E60" s="292"/>
      <c r="F60" s="71" t="str">
        <f>IFERROR(VLOOKUP(C60,OB!$B$1:$N$131,6,FALSE),"")</f>
        <v/>
      </c>
      <c r="G60" s="295">
        <f>IFERROR(G56/$T$10,"")</f>
        <v>0</v>
      </c>
      <c r="H60" s="74"/>
      <c r="I60" s="67"/>
      <c r="J60" s="61"/>
      <c r="K60" s="61"/>
      <c r="L60" s="61"/>
      <c r="M60" s="61"/>
      <c r="N60" s="61"/>
      <c r="O60" s="68"/>
      <c r="P60" s="62"/>
      <c r="Q60" s="69" t="str">
        <f>IFERROR(VLOOKUP(R60,OB!$B$1:$N$131,4,FALSE),"")</f>
        <v/>
      </c>
      <c r="R60" s="70" t="s">
        <v>104</v>
      </c>
      <c r="S60" s="291" t="str">
        <f>IFERROR(VLOOKUP(R60,OB!$B$1:$N$131,2,FALSE),"")</f>
        <v/>
      </c>
      <c r="T60" s="292"/>
      <c r="U60" s="71" t="str">
        <f>IFERROR(VLOOKUP(R60,OB!$B$1:$N$131,6,FALSE),"")</f>
        <v/>
      </c>
      <c r="V60" s="295">
        <f>IFERROR(V56/$T$10,"")</f>
        <v>0.5484787018255578</v>
      </c>
      <c r="W60" s="302"/>
    </row>
    <row r="61" spans="1:24" s="58" customFormat="1" ht="13.5" customHeight="1" thickBot="1">
      <c r="A61" s="301"/>
      <c r="B61" s="150" t="str">
        <f>IFERROR(VLOOKUP(C61,OB!$B$1:$N$131,4,FALSE),"")</f>
        <v/>
      </c>
      <c r="C61" s="76"/>
      <c r="D61" s="297" t="str">
        <f>IFERROR(VLOOKUP(C61,OB!$B$1:$N$131,2,FALSE),"")</f>
        <v/>
      </c>
      <c r="E61" s="298"/>
      <c r="F61" s="77" t="str">
        <f>IFERROR(VLOOKUP(C61,OB!$B$1:$N$131,6,FALSE),"")</f>
        <v/>
      </c>
      <c r="G61" s="296"/>
      <c r="H61" s="74"/>
      <c r="I61" s="67"/>
      <c r="J61" s="61"/>
      <c r="K61" s="61"/>
      <c r="L61" s="61"/>
      <c r="M61" s="61"/>
      <c r="N61" s="61"/>
      <c r="O61" s="68"/>
      <c r="P61" s="62"/>
      <c r="Q61" s="150" t="str">
        <f>IFERROR(VLOOKUP(R61,OB!$B$1:$N$131,4,FALSE),"")</f>
        <v/>
      </c>
      <c r="R61" s="76"/>
      <c r="S61" s="297" t="str">
        <f>IFERROR(VLOOKUP(R61,OB!$B$1:$N$131,2,FALSE),"")</f>
        <v/>
      </c>
      <c r="T61" s="298"/>
      <c r="U61" s="77" t="str">
        <f>IFERROR(VLOOKUP(R61,OB!$B$1:$N$131,6,FALSE),"")</f>
        <v/>
      </c>
      <c r="V61" s="296"/>
      <c r="W61" s="302"/>
    </row>
    <row r="62" spans="1:24" ht="13.5" customHeight="1" thickBot="1">
      <c r="A62" s="86"/>
      <c r="B62" s="148"/>
      <c r="D62" s="148"/>
      <c r="E62" s="148"/>
      <c r="I62" s="67"/>
      <c r="J62" s="61"/>
      <c r="K62" s="61"/>
      <c r="L62" s="61"/>
      <c r="M62" s="61"/>
      <c r="N62" s="61"/>
      <c r="O62" s="68"/>
      <c r="Q62" s="148"/>
      <c r="S62" s="148"/>
      <c r="T62" s="148"/>
      <c r="W62" s="86"/>
      <c r="X62" s="58"/>
    </row>
    <row r="63" spans="1:24" s="58" customFormat="1" ht="13.5" customHeight="1">
      <c r="A63" s="301"/>
      <c r="B63" s="158" t="str">
        <f>IFERROR(VLOOKUP(C63,OB!$B$1:$N$131,4,FALSE),"")</f>
        <v/>
      </c>
      <c r="C63" s="64"/>
      <c r="D63" s="264" t="str">
        <f>IFERROR(VLOOKUP(C63,OB!$B$1:$N$131,2,FALSE),"")</f>
        <v/>
      </c>
      <c r="E63" s="265"/>
      <c r="F63" s="65" t="str">
        <f>IFERROR(VLOOKUP(C63,OB!$B$1:$N$131,6,FALSE),"")</f>
        <v/>
      </c>
      <c r="G63" s="66">
        <f>SUM(F63:F68)</f>
        <v>0</v>
      </c>
      <c r="H63" s="61"/>
      <c r="I63" s="67"/>
      <c r="J63" s="61"/>
      <c r="K63" s="61"/>
      <c r="L63" s="61"/>
      <c r="M63" s="61"/>
      <c r="N63" s="61"/>
      <c r="O63" s="68"/>
      <c r="P63" s="62"/>
      <c r="Q63" s="69" t="str">
        <f>IFERROR(VLOOKUP(R63,OB!$B$1:$N$131,4,FALSE),"")</f>
        <v/>
      </c>
      <c r="R63" s="64">
        <v>63</v>
      </c>
      <c r="S63" s="264" t="str">
        <f>IFERROR(VLOOKUP(R63,OB!$B$1:$N$131,2,FALSE),"")</f>
        <v/>
      </c>
      <c r="T63" s="265"/>
      <c r="U63" s="65" t="str">
        <f>IFERROR(VLOOKUP(R63,OB!$B$1:$N$131,6,FALSE),"")</f>
        <v/>
      </c>
      <c r="V63" s="66">
        <f>SUM(U63:U68)</f>
        <v>1.8699999999999999</v>
      </c>
      <c r="W63" s="302"/>
    </row>
    <row r="64" spans="1:24" s="58" customFormat="1" ht="13.5" customHeight="1">
      <c r="A64" s="301"/>
      <c r="B64" s="69" t="str">
        <f>IFERROR(VLOOKUP(C64,OB!$B$1:$N$131,4,FALSE),"")</f>
        <v/>
      </c>
      <c r="C64" s="70"/>
      <c r="D64" s="262" t="str">
        <f>IFERROR(VLOOKUP(C64,OB!$B$1:$N$131,2,FALSE),"")</f>
        <v/>
      </c>
      <c r="E64" s="263"/>
      <c r="F64" s="71" t="str">
        <f>IFERROR(VLOOKUP(C64,OB!$B$1:$N$131,6,FALSE),"")</f>
        <v/>
      </c>
      <c r="G64" s="266" t="str">
        <f>IFERROR(60/G63,"")</f>
        <v/>
      </c>
      <c r="H64" s="72"/>
      <c r="I64" s="67"/>
      <c r="J64" s="61"/>
      <c r="K64" s="61"/>
      <c r="L64" s="61"/>
      <c r="M64" s="61"/>
      <c r="N64" s="61"/>
      <c r="O64" s="68"/>
      <c r="P64" s="62"/>
      <c r="Q64" s="69" t="str">
        <f>IFERROR(VLOOKUP(R64,OB!$B$1:$N$131,4,FALSE),"")</f>
        <v>SN</v>
      </c>
      <c r="R64" s="70">
        <v>21</v>
      </c>
      <c r="S64" s="262" t="str">
        <f>IFERROR(VLOOKUP(R64,OB!$B$1:$N$131,2,FALSE),"")</f>
        <v>FLY BOX EDGE RUN STTICH *1</v>
      </c>
      <c r="T64" s="263"/>
      <c r="U64" s="71">
        <f>IFERROR(VLOOKUP(R64,OB!$B$1:$N$131,6,FALSE),"")</f>
        <v>0.22</v>
      </c>
      <c r="V64" s="266">
        <f>IFERROR(60/V63,"")</f>
        <v>32.085561497326204</v>
      </c>
      <c r="W64" s="302"/>
    </row>
    <row r="65" spans="1:24" s="58" customFormat="1" ht="13.5" customHeight="1">
      <c r="A65" s="301"/>
      <c r="B65" s="69" t="str">
        <f>IFERROR(VLOOKUP(C65,OB!$B$1:$N$131,4,FALSE),"")</f>
        <v/>
      </c>
      <c r="C65" s="70">
        <v>65</v>
      </c>
      <c r="D65" s="262" t="str">
        <f>IFERROR(VLOOKUP(C65,OB!$B$1:$N$131,2,FALSE),"")</f>
        <v/>
      </c>
      <c r="E65" s="263"/>
      <c r="F65" s="71" t="str">
        <f>IFERROR(VLOOKUP(C65,OB!$B$1:$N$131,6,FALSE),"")</f>
        <v/>
      </c>
      <c r="G65" s="267"/>
      <c r="H65" s="72"/>
      <c r="I65" s="67"/>
      <c r="J65" s="61"/>
      <c r="K65" s="61"/>
      <c r="L65" s="61"/>
      <c r="M65" s="61"/>
      <c r="N65" s="61"/>
      <c r="O65" s="68"/>
      <c r="P65" s="62"/>
      <c r="Q65" s="69" t="str">
        <f>IFERROR(VLOOKUP(R65,OB!$B$1:$N$131,4,FALSE),"")</f>
        <v>3OL</v>
      </c>
      <c r="R65" s="70">
        <v>13</v>
      </c>
      <c r="S65" s="262" t="str">
        <f>IFERROR(VLOOKUP(R65,OB!$B$1:$N$131,2,FALSE),"")</f>
        <v>FRONT PKT BAG CLOSE WITH TRUN *2</v>
      </c>
      <c r="T65" s="263"/>
      <c r="U65" s="71">
        <f>IFERROR(VLOOKUP(R65,OB!$B$1:$N$131,6,FALSE),"")</f>
        <v>0.67</v>
      </c>
      <c r="V65" s="267"/>
      <c r="W65" s="302"/>
    </row>
    <row r="66" spans="1:24" s="58" customFormat="1" ht="13.5" customHeight="1">
      <c r="A66" s="301"/>
      <c r="B66" s="69" t="str">
        <f>IFERROR(VLOOKUP(C66,OB!$B$1:$N$131,4,FALSE),"")</f>
        <v/>
      </c>
      <c r="C66" s="70"/>
      <c r="D66" s="262" t="str">
        <f>IFERROR(VLOOKUP(C66,OB!$B$1:$N$131,2,FALSE),"")</f>
        <v/>
      </c>
      <c r="E66" s="263"/>
      <c r="F66" s="71" t="str">
        <f>IFERROR(VLOOKUP(C66,OB!$B$1:$N$131,6,FALSE),"")</f>
        <v/>
      </c>
      <c r="G66" s="73"/>
      <c r="H66" s="72"/>
      <c r="I66" s="67"/>
      <c r="J66" s="61"/>
      <c r="K66" s="61"/>
      <c r="L66" s="61"/>
      <c r="M66" s="61"/>
      <c r="N66" s="61"/>
      <c r="O66" s="68"/>
      <c r="P66" s="62"/>
      <c r="Q66" s="69" t="str">
        <f>IFERROR(VLOOKUP(R66,OB!$B$1:$N$131,4,FALSE),"")</f>
        <v>SN</v>
      </c>
      <c r="R66" s="70">
        <v>27</v>
      </c>
      <c r="S66" s="262" t="str">
        <f>IFERROR(VLOOKUP(R66,OB!$B$1:$N$131,2,FALSE),"")</f>
        <v>FRONT SETTING *1</v>
      </c>
      <c r="T66" s="263"/>
      <c r="U66" s="71">
        <f>IFERROR(VLOOKUP(R66,OB!$B$1:$N$131,6,FALSE),"")</f>
        <v>0.34</v>
      </c>
      <c r="V66" s="73"/>
      <c r="W66" s="302"/>
    </row>
    <row r="67" spans="1:24" s="58" customFormat="1" ht="13.5" customHeight="1">
      <c r="A67" s="301"/>
      <c r="B67" s="69" t="str">
        <f>IFERROR(VLOOKUP(C67,OB!$B$1:$N$131,4,FALSE),"")</f>
        <v/>
      </c>
      <c r="C67" s="70"/>
      <c r="D67" s="291" t="str">
        <f>IFERROR(VLOOKUP(C67,OB!$B$1:$N$131,2,FALSE),"")</f>
        <v/>
      </c>
      <c r="E67" s="292"/>
      <c r="F67" s="71" t="str">
        <f>IFERROR(VLOOKUP(C67,OB!$B$1:$N$131,6,FALSE),"")</f>
        <v/>
      </c>
      <c r="G67" s="295">
        <f>IFERROR(G63/$T$10,"")</f>
        <v>0</v>
      </c>
      <c r="H67" s="74"/>
      <c r="I67" s="67"/>
      <c r="J67" s="61"/>
      <c r="K67" s="61"/>
      <c r="L67" s="61"/>
      <c r="M67" s="61"/>
      <c r="N67" s="61"/>
      <c r="O67" s="68"/>
      <c r="P67" s="62"/>
      <c r="Q67" s="69" t="str">
        <f>IFERROR(VLOOKUP(R67,OB!$B$1:$N$131,4,FALSE),"")</f>
        <v>3OL</v>
      </c>
      <c r="R67" s="70">
        <v>18</v>
      </c>
      <c r="S67" s="291" t="str">
        <f>IFERROR(VLOOKUP(R67,OB!$B$1:$N$131,2,FALSE),"")</f>
        <v>FRONT SIDE EDGE OL *1</v>
      </c>
      <c r="T67" s="292"/>
      <c r="U67" s="71">
        <f>IFERROR(VLOOKUP(R67,OB!$B$1:$N$131,6,FALSE),"")</f>
        <v>0.2</v>
      </c>
      <c r="V67" s="295">
        <f>IFERROR(V63/$T$10,"")</f>
        <v>0.98620689655172411</v>
      </c>
      <c r="W67" s="302"/>
    </row>
    <row r="68" spans="1:24" s="58" customFormat="1" ht="13.5" customHeight="1" thickBot="1">
      <c r="A68" s="301"/>
      <c r="B68" s="150" t="str">
        <f>IFERROR(VLOOKUP(C68,OB!$B$1:$N$131,4,FALSE),"")</f>
        <v/>
      </c>
      <c r="C68" s="76"/>
      <c r="D68" s="297" t="str">
        <f>IFERROR(VLOOKUP(C68,OB!$B$1:$N$131,2,FALSE),"")</f>
        <v/>
      </c>
      <c r="E68" s="298"/>
      <c r="F68" s="77" t="str">
        <f>IFERROR(VLOOKUP(C68,OB!$B$1:$N$131,6,FALSE),"")</f>
        <v/>
      </c>
      <c r="G68" s="296"/>
      <c r="H68" s="74"/>
      <c r="I68" s="67"/>
      <c r="J68" s="61"/>
      <c r="K68" s="61"/>
      <c r="L68" s="61"/>
      <c r="M68" s="61"/>
      <c r="N68" s="61"/>
      <c r="O68" s="68"/>
      <c r="P68" s="62"/>
      <c r="Q68" s="75" t="str">
        <f>IFERROR(VLOOKUP(R68,OB!$B$1:$N$131,4,FALSE),"")</f>
        <v>SN</v>
      </c>
      <c r="R68" s="75">
        <v>6</v>
      </c>
      <c r="S68" s="297" t="str">
        <f>IFERROR(VLOOKUP(R68,OB!$B$1:$N$131,2,FALSE),"")</f>
        <v>FRONT PKT BAG ATTACH TO SIDE ZIPPER EDGE *1</v>
      </c>
      <c r="T68" s="298"/>
      <c r="U68" s="77">
        <f>IFERROR(VLOOKUP(R68,OB!$B$1:$N$131,6,FALSE),"")</f>
        <v>0.44</v>
      </c>
      <c r="V68" s="296"/>
      <c r="W68" s="302"/>
    </row>
    <row r="69" spans="1:24" ht="13.5" customHeight="1" thickBot="1">
      <c r="A69" s="86"/>
      <c r="B69" s="148"/>
      <c r="D69" s="148"/>
      <c r="E69" s="148"/>
      <c r="I69" s="67"/>
      <c r="J69" s="61"/>
      <c r="K69" s="61"/>
      <c r="L69" s="61"/>
      <c r="M69" s="61"/>
      <c r="N69" s="61"/>
      <c r="O69" s="68"/>
      <c r="Q69" s="148"/>
      <c r="S69" s="148"/>
      <c r="T69" s="148"/>
      <c r="W69" s="86"/>
      <c r="X69" s="58"/>
    </row>
    <row r="70" spans="1:24" s="58" customFormat="1" ht="13.5" customHeight="1">
      <c r="A70" s="301"/>
      <c r="B70" s="158" t="str">
        <f>IFERROR(VLOOKUP(C70,OB!$B$1:$N$131,4,FALSE),"")</f>
        <v/>
      </c>
      <c r="C70" s="64"/>
      <c r="D70" s="264" t="str">
        <f>IFERROR(VLOOKUP(C70,OB!$B$1:$N$131,2,FALSE),"")</f>
        <v/>
      </c>
      <c r="E70" s="265"/>
      <c r="F70" s="65" t="str">
        <f>IFERROR(VLOOKUP(C70,OB!$B$1:$N$131,6,FALSE),"")</f>
        <v/>
      </c>
      <c r="G70" s="66">
        <f>SUM(F70:F75)</f>
        <v>0</v>
      </c>
      <c r="H70" s="61"/>
      <c r="I70" s="67"/>
      <c r="J70" s="61"/>
      <c r="K70" s="61"/>
      <c r="L70" s="61"/>
      <c r="M70" s="61"/>
      <c r="N70" s="61"/>
      <c r="O70" s="68"/>
      <c r="P70" s="62"/>
      <c r="Q70" s="69" t="str">
        <f>IFERROR(VLOOKUP(R70,OB!$B$1:$N$131,4,FALSE),"")</f>
        <v>BTK</v>
      </c>
      <c r="R70" s="64">
        <v>39</v>
      </c>
      <c r="S70" s="264" t="str">
        <f>IFERROR(VLOOKUP(R70,OB!$B$1:$N$131,2,FALSE),"")</f>
        <v>BACK WELT PKT MOUTH BTK *4</v>
      </c>
      <c r="T70" s="265"/>
      <c r="U70" s="65">
        <f>IFERROR(VLOOKUP(R70,OB!$B$1:$N$131,6,FALSE),"")</f>
        <v>0.28000000000000003</v>
      </c>
      <c r="V70" s="66">
        <f>SUM(U70:U75)</f>
        <v>2.4300000000000002</v>
      </c>
      <c r="W70" s="302"/>
    </row>
    <row r="71" spans="1:24" s="58" customFormat="1" ht="13.5" customHeight="1">
      <c r="A71" s="301"/>
      <c r="B71" s="69" t="str">
        <f>IFERROR(VLOOKUP(C71,OB!$B$1:$N$131,4,FALSE),"")</f>
        <v/>
      </c>
      <c r="C71" s="70">
        <v>81</v>
      </c>
      <c r="D71" s="262" t="str">
        <f>IFERROR(VLOOKUP(C71,OB!$B$1:$N$131,2,FALSE),"")</f>
        <v/>
      </c>
      <c r="E71" s="263"/>
      <c r="F71" s="71" t="str">
        <f>IFERROR(VLOOKUP(C71,OB!$B$1:$N$131,6,FALSE),"")</f>
        <v/>
      </c>
      <c r="G71" s="266" t="str">
        <f>IFERROR(60/G70,"")</f>
        <v/>
      </c>
      <c r="H71" s="72"/>
      <c r="I71" s="67"/>
      <c r="J71" s="61"/>
      <c r="K71" s="61"/>
      <c r="L71" s="61"/>
      <c r="M71" s="61"/>
      <c r="N71" s="61"/>
      <c r="O71" s="68"/>
      <c r="P71" s="62"/>
      <c r="Q71" s="69" t="str">
        <f>IFERROR(VLOOKUP(R71,OB!$B$1:$N$131,4,FALSE),"")</f>
        <v>SN</v>
      </c>
      <c r="R71" s="70">
        <v>49</v>
      </c>
      <c r="S71" s="262" t="str">
        <f>IFERROR(VLOOKUP(R71,OB!$B$1:$N$131,2,FALSE),"")</f>
        <v>SIDE SEAM ZIPPER ATTACH TO BACK SIDE *1</v>
      </c>
      <c r="T71" s="263"/>
      <c r="U71" s="71">
        <f>IFERROR(VLOOKUP(R71,OB!$B$1:$N$131,6,FALSE),"")</f>
        <v>0.4</v>
      </c>
      <c r="V71" s="266">
        <f>IFERROR(60/V70,"")</f>
        <v>24.691358024691358</v>
      </c>
      <c r="W71" s="302"/>
    </row>
    <row r="72" spans="1:24" s="58" customFormat="1" ht="13.5" customHeight="1">
      <c r="A72" s="301"/>
      <c r="B72" s="69" t="str">
        <f>IFERROR(VLOOKUP(C72,OB!$B$1:$N$131,4,FALSE),"")</f>
        <v/>
      </c>
      <c r="C72" s="70">
        <v>84</v>
      </c>
      <c r="D72" s="262" t="str">
        <f>IFERROR(VLOOKUP(C72,OB!$B$1:$N$131,2,FALSE),"")</f>
        <v/>
      </c>
      <c r="E72" s="263"/>
      <c r="F72" s="71" t="str">
        <f>IFERROR(VLOOKUP(C72,OB!$B$1:$N$131,6,FALSE),"")</f>
        <v/>
      </c>
      <c r="G72" s="267"/>
      <c r="H72" s="72"/>
      <c r="I72" s="67"/>
      <c r="J72" s="61"/>
      <c r="K72" s="61"/>
      <c r="L72" s="61"/>
      <c r="M72" s="61"/>
      <c r="N72" s="61"/>
      <c r="O72" s="68"/>
      <c r="P72" s="62"/>
      <c r="Q72" s="69" t="str">
        <f>IFERROR(VLOOKUP(R72,OB!$B$1:$N$131,4,FALSE),"")</f>
        <v>SN</v>
      </c>
      <c r="R72" s="70">
        <v>61</v>
      </c>
      <c r="S72" s="262" t="str">
        <f>IFERROR(VLOOKUP(R72,OB!$B$1:$N$131,2,FALSE),"")</f>
        <v>BTM HEM CLOSE *2</v>
      </c>
      <c r="T72" s="263"/>
      <c r="U72" s="71">
        <f>IFERROR(VLOOKUP(R72,OB!$B$1:$N$131,6,FALSE),"")</f>
        <v>0.67</v>
      </c>
      <c r="V72" s="267"/>
      <c r="W72" s="302"/>
    </row>
    <row r="73" spans="1:24" s="58" customFormat="1" ht="13.5" customHeight="1">
      <c r="A73" s="301"/>
      <c r="B73" s="69" t="str">
        <f>IFERROR(VLOOKUP(C73,OB!$B$1:$N$131,4,FALSE),"")</f>
        <v/>
      </c>
      <c r="C73" s="70"/>
      <c r="D73" s="262" t="str">
        <f>IFERROR(VLOOKUP(C73,OB!$B$1:$N$131,2,FALSE),"")</f>
        <v/>
      </c>
      <c r="E73" s="263"/>
      <c r="F73" s="71" t="str">
        <f>IFERROR(VLOOKUP(C73,OB!$B$1:$N$131,6,FALSE),"")</f>
        <v/>
      </c>
      <c r="G73" s="73"/>
      <c r="H73" s="72"/>
      <c r="I73" s="67"/>
      <c r="J73" s="61"/>
      <c r="K73" s="61"/>
      <c r="L73" s="61"/>
      <c r="M73" s="61"/>
      <c r="N73" s="61"/>
      <c r="O73" s="68"/>
      <c r="P73" s="62"/>
      <c r="Q73" s="69" t="str">
        <f>IFERROR(VLOOKUP(R73,OB!$B$1:$N$131,4,FALSE),"")</f>
        <v>SNC</v>
      </c>
      <c r="R73" s="70">
        <v>48</v>
      </c>
      <c r="S73" s="262" t="str">
        <f>IFERROR(VLOOKUP(R73,OB!$B$1:$N$131,2,FALSE),"")</f>
        <v>WAIST BAND CLOSE *1</v>
      </c>
      <c r="T73" s="263"/>
      <c r="U73" s="71">
        <f>IFERROR(VLOOKUP(R73,OB!$B$1:$N$131,6,FALSE),"")</f>
        <v>0.92</v>
      </c>
      <c r="V73" s="73"/>
      <c r="W73" s="302"/>
    </row>
    <row r="74" spans="1:24" s="58" customFormat="1" ht="13.5" customHeight="1">
      <c r="A74" s="301"/>
      <c r="B74" s="69" t="str">
        <f>IFERROR(VLOOKUP(C74,OB!$B$1:$N$131,4,FALSE),"")</f>
        <v/>
      </c>
      <c r="C74" s="70"/>
      <c r="D74" s="291" t="str">
        <f>IFERROR(VLOOKUP(C74,OB!$B$1:$N$131,2,FALSE),"")</f>
        <v/>
      </c>
      <c r="E74" s="292"/>
      <c r="F74" s="71" t="str">
        <f>IFERROR(VLOOKUP(C74,OB!$B$1:$N$131,6,FALSE),"")</f>
        <v/>
      </c>
      <c r="G74" s="295">
        <f>IFERROR(G70/$T$10,"")</f>
        <v>0</v>
      </c>
      <c r="H74" s="74"/>
      <c r="I74" s="67"/>
      <c r="J74" s="61"/>
      <c r="K74" s="61"/>
      <c r="L74" s="61"/>
      <c r="M74" s="61"/>
      <c r="N74" s="61"/>
      <c r="O74" s="68"/>
      <c r="P74" s="62"/>
      <c r="Q74" s="69" t="str">
        <f>IFERROR(VLOOKUP(R74,OB!$B$1:$N$131,4,FALSE),"")</f>
        <v>SN</v>
      </c>
      <c r="R74" s="70">
        <v>46</v>
      </c>
      <c r="S74" s="299" t="str">
        <f>IFERROR(VLOOKUP(R74,OB!$B$1:$N$131,2,FALSE),"")</f>
        <v>WAIST BAND CONER TST *2</v>
      </c>
      <c r="T74" s="300"/>
      <c r="U74" s="71">
        <f>IFERROR(VLOOKUP(R74,OB!$B$1:$N$131,6,FALSE),"")</f>
        <v>0.16</v>
      </c>
      <c r="V74" s="295">
        <f>IFERROR(V70/$T$10,"")</f>
        <v>1.2815415821501015</v>
      </c>
      <c r="W74" s="302"/>
    </row>
    <row r="75" spans="1:24" s="58" customFormat="1" ht="13.5" customHeight="1" thickBot="1">
      <c r="A75" s="301"/>
      <c r="B75" s="150" t="str">
        <f>IFERROR(VLOOKUP(C75,OB!$B$1:$N$131,4,FALSE),"")</f>
        <v/>
      </c>
      <c r="C75" s="76"/>
      <c r="D75" s="297" t="str">
        <f>IFERROR(VLOOKUP(C75,OB!$B$1:$N$131,2,FALSE),"")</f>
        <v/>
      </c>
      <c r="E75" s="298"/>
      <c r="F75" s="77" t="str">
        <f>IFERROR(VLOOKUP(C75,OB!$B$1:$N$131,6,FALSE),"")</f>
        <v/>
      </c>
      <c r="G75" s="296"/>
      <c r="H75" s="74"/>
      <c r="I75" s="67"/>
      <c r="J75" s="61"/>
      <c r="K75" s="61"/>
      <c r="L75" s="61"/>
      <c r="M75" s="61"/>
      <c r="N75" s="61"/>
      <c r="O75" s="68"/>
      <c r="P75" s="62"/>
      <c r="Q75" s="75" t="str">
        <f>IFERROR(VLOOKUP(R75,OB!$B$1:$N$131,4,FALSE),"")</f>
        <v/>
      </c>
      <c r="R75" s="76"/>
      <c r="S75" s="297" t="str">
        <f>IFERROR(VLOOKUP(R75,OB!$B$1:$N$131,2,FALSE),"")</f>
        <v/>
      </c>
      <c r="T75" s="298"/>
      <c r="U75" s="77" t="str">
        <f>IFERROR(VLOOKUP(R75,OB!$B$1:$N$131,6,FALSE),"")</f>
        <v/>
      </c>
      <c r="V75" s="296"/>
      <c r="W75" s="302"/>
    </row>
    <row r="76" spans="1:24" ht="13.5" customHeight="1" thickBot="1">
      <c r="A76" s="86"/>
      <c r="B76" s="148"/>
      <c r="D76" s="148"/>
      <c r="E76" s="148"/>
      <c r="I76" s="67"/>
      <c r="J76" s="61"/>
      <c r="K76" s="61"/>
      <c r="L76" s="61"/>
      <c r="M76" s="61"/>
      <c r="N76" s="61"/>
      <c r="O76" s="68"/>
      <c r="S76" s="148"/>
      <c r="T76" s="148"/>
      <c r="W76" s="86"/>
      <c r="X76" s="58"/>
    </row>
    <row r="77" spans="1:24" s="58" customFormat="1" ht="13.5" customHeight="1">
      <c r="A77" s="301"/>
      <c r="B77" s="158" t="str">
        <f>IFERROR(VLOOKUP(C77,OB!$B$1:$N$131,4,FALSE),"")</f>
        <v/>
      </c>
      <c r="C77" s="64"/>
      <c r="D77" s="264" t="str">
        <f>IFERROR(VLOOKUP(C77,OB!$B$1:$N$131,2,FALSE),"")</f>
        <v/>
      </c>
      <c r="E77" s="265"/>
      <c r="F77" s="65" t="str">
        <f>IFERROR(VLOOKUP(C77,OB!$B$1:$N$131,6,FALSE),"")</f>
        <v/>
      </c>
      <c r="G77" s="66">
        <f>SUM(F77:F82)</f>
        <v>0</v>
      </c>
      <c r="H77" s="61"/>
      <c r="I77" s="67"/>
      <c r="J77" s="61"/>
      <c r="K77" s="61"/>
      <c r="L77" s="61"/>
      <c r="M77" s="61"/>
      <c r="N77" s="61"/>
      <c r="O77" s="68"/>
      <c r="P77" s="62"/>
      <c r="Q77" s="158" t="str">
        <f>IFERROR(VLOOKUP(R77,OB!$B$1:$N$131,4,FALSE),"")</f>
        <v/>
      </c>
      <c r="R77" s="64"/>
      <c r="S77" s="264" t="str">
        <f>IFERROR(VLOOKUP(R77,OB!$B$1:$N$131,2,FALSE),"")</f>
        <v/>
      </c>
      <c r="T77" s="265"/>
      <c r="U77" s="65" t="str">
        <f>IFERROR(VLOOKUP(R77,OB!$B$1:$N$131,6,FALSE),"")</f>
        <v/>
      </c>
      <c r="V77" s="66">
        <f>SUM(U77:U82)</f>
        <v>0.51</v>
      </c>
      <c r="W77" s="302"/>
    </row>
    <row r="78" spans="1:24" s="58" customFormat="1" ht="13.5" customHeight="1">
      <c r="A78" s="301"/>
      <c r="B78" s="69" t="str">
        <f>IFERROR(VLOOKUP(C78,OB!$B$1:$N$131,4,FALSE),"")</f>
        <v/>
      </c>
      <c r="C78" s="70"/>
      <c r="D78" s="262" t="str">
        <f>IFERROR(VLOOKUP(C78,OB!$B$1:$N$131,2,FALSE),"")</f>
        <v/>
      </c>
      <c r="E78" s="263"/>
      <c r="F78" s="71" t="str">
        <f>IFERROR(VLOOKUP(C78,OB!$B$1:$N$131,6,FALSE),"")</f>
        <v/>
      </c>
      <c r="G78" s="266" t="str">
        <f>IFERROR(60/G77,"")</f>
        <v/>
      </c>
      <c r="H78" s="72"/>
      <c r="I78" s="67"/>
      <c r="J78" s="61"/>
      <c r="K78" s="61"/>
      <c r="L78" s="61"/>
      <c r="M78" s="61"/>
      <c r="N78" s="61"/>
      <c r="O78" s="68"/>
      <c r="P78" s="62"/>
      <c r="Q78" s="69" t="str">
        <f>IFERROR(VLOOKUP(R78,OB!$B$1:$N$131,4,FALSE),"")</f>
        <v/>
      </c>
      <c r="R78" s="70"/>
      <c r="S78" s="262" t="str">
        <f>IFERROR(VLOOKUP(R78,OB!$B$1:$N$131,2,FALSE),"")</f>
        <v/>
      </c>
      <c r="T78" s="263"/>
      <c r="U78" s="71" t="str">
        <f>IFERROR(VLOOKUP(R78,OB!$B$1:$N$131,6,FALSE),"")</f>
        <v/>
      </c>
      <c r="V78" s="266">
        <f>IFERROR(60/V77,"")</f>
        <v>117.64705882352941</v>
      </c>
      <c r="W78" s="302"/>
    </row>
    <row r="79" spans="1:24" s="58" customFormat="1" ht="13.5" customHeight="1">
      <c r="A79" s="301"/>
      <c r="B79" s="69" t="str">
        <f>IFERROR(VLOOKUP(C79,OB!$B$1:$N$131,4,FALSE),"")</f>
        <v/>
      </c>
      <c r="C79" s="70">
        <v>82</v>
      </c>
      <c r="D79" s="262" t="str">
        <f>IFERROR(VLOOKUP(C79,OB!$B$1:$N$131,2,FALSE),"")</f>
        <v/>
      </c>
      <c r="E79" s="263"/>
      <c r="F79" s="71" t="str">
        <f>IFERROR(VLOOKUP(C79,OB!$B$1:$N$131,6,FALSE),"")</f>
        <v/>
      </c>
      <c r="G79" s="267"/>
      <c r="H79" s="72"/>
      <c r="I79" s="67"/>
      <c r="J79" s="61"/>
      <c r="K79" s="61"/>
      <c r="L79" s="61"/>
      <c r="M79" s="61"/>
      <c r="N79" s="61"/>
      <c r="O79" s="68"/>
      <c r="P79" s="62"/>
      <c r="Q79" s="69" t="str">
        <f>IFERROR(VLOOKUP(R79,OB!$B$1:$N$131,4,FALSE),"")</f>
        <v>BTK</v>
      </c>
      <c r="R79" s="70">
        <v>62</v>
      </c>
      <c r="S79" s="262" t="str">
        <f>IFERROR(VLOOKUP(R79,OB!$B$1:$N$131,2,FALSE),"")</f>
        <v>IN SEAM BTK *1</v>
      </c>
      <c r="T79" s="263"/>
      <c r="U79" s="71">
        <f>IFERROR(VLOOKUP(R79,OB!$B$1:$N$131,6,FALSE),"")</f>
        <v>7.0000000000000007E-2</v>
      </c>
      <c r="V79" s="267"/>
      <c r="W79" s="302"/>
    </row>
    <row r="80" spans="1:24" s="58" customFormat="1" ht="13.5" customHeight="1">
      <c r="A80" s="301"/>
      <c r="B80" s="69" t="str">
        <f>IFERROR(VLOOKUP(C80,OB!$B$1:$N$131,4,FALSE),"")</f>
        <v/>
      </c>
      <c r="C80" s="70">
        <v>83</v>
      </c>
      <c r="D80" s="262" t="str">
        <f>IFERROR(VLOOKUP(C80,OB!$B$1:$N$131,2,FALSE),"")</f>
        <v/>
      </c>
      <c r="E80" s="263"/>
      <c r="F80" s="71" t="str">
        <f>IFERROR(VLOOKUP(C80,OB!$B$1:$N$131,6,FALSE),"")</f>
        <v/>
      </c>
      <c r="G80" s="73"/>
      <c r="H80" s="72"/>
      <c r="I80" s="67"/>
      <c r="J80" s="61"/>
      <c r="K80" s="61"/>
      <c r="L80" s="61"/>
      <c r="M80" s="61"/>
      <c r="N80" s="61"/>
      <c r="O80" s="68"/>
      <c r="P80" s="62"/>
      <c r="Q80" s="69" t="str">
        <f>IFERROR(VLOOKUP(R80,OB!$B$1:$N$131,4,FALSE),"")</f>
        <v>SN</v>
      </c>
      <c r="R80" s="70">
        <v>56</v>
      </c>
      <c r="S80" s="262" t="str">
        <f>IFERROR(VLOOKUP(R80,OB!$B$1:$N$131,2,FALSE),"")</f>
        <v>1ST LOOP TACK *5</v>
      </c>
      <c r="T80" s="263"/>
      <c r="U80" s="71">
        <f>IFERROR(VLOOKUP(R80,OB!$B$1:$N$131,6,FALSE),"")</f>
        <v>0.44</v>
      </c>
      <c r="V80" s="73"/>
      <c r="W80" s="302"/>
    </row>
    <row r="81" spans="1:24" s="58" customFormat="1" ht="13.5" customHeight="1">
      <c r="A81" s="301"/>
      <c r="B81" s="69" t="str">
        <f>IFERROR(VLOOKUP(C81,OB!$B$1:$N$131,4,FALSE),"")</f>
        <v/>
      </c>
      <c r="C81" s="70"/>
      <c r="D81" s="291" t="str">
        <f>IFERROR(VLOOKUP(C81,OB!$B$1:$N$131,2,FALSE),"")</f>
        <v/>
      </c>
      <c r="E81" s="292"/>
      <c r="F81" s="71" t="str">
        <f>IFERROR(VLOOKUP(C81,OB!$B$1:$N$131,6,FALSE),"")</f>
        <v/>
      </c>
      <c r="G81" s="295">
        <f>IFERROR(G77/$T$10,"")</f>
        <v>0</v>
      </c>
      <c r="H81" s="74"/>
      <c r="I81" s="67"/>
      <c r="J81" s="61"/>
      <c r="K81" s="61"/>
      <c r="L81" s="61"/>
      <c r="M81" s="61"/>
      <c r="N81" s="61"/>
      <c r="O81" s="68"/>
      <c r="P81" s="62"/>
      <c r="Q81" s="69" t="str">
        <f>IFERROR(VLOOKUP(R81,OB!$B$1:$N$131,4,FALSE),"")</f>
        <v/>
      </c>
      <c r="R81" s="70">
        <v>86</v>
      </c>
      <c r="S81" s="291" t="str">
        <f>IFERROR(VLOOKUP(R81,OB!$B$1:$N$131,2,FALSE),"")</f>
        <v/>
      </c>
      <c r="T81" s="292"/>
      <c r="U81" s="71" t="str">
        <f>IFERROR(VLOOKUP(R81,OB!$B$1:$N$131,6,FALSE),"")</f>
        <v/>
      </c>
      <c r="V81" s="295">
        <f>IFERROR(V77/$T$10,"")</f>
        <v>0.26896551724137935</v>
      </c>
      <c r="W81" s="302"/>
    </row>
    <row r="82" spans="1:24" s="58" customFormat="1" ht="13.5" customHeight="1" thickBot="1">
      <c r="A82" s="301"/>
      <c r="B82" s="150" t="str">
        <f>IFERROR(VLOOKUP(C82,OB!$B$1:$N$131,4,FALSE),"")</f>
        <v/>
      </c>
      <c r="C82" s="76"/>
      <c r="D82" s="297" t="str">
        <f>IFERROR(VLOOKUP(C82,OB!$B$1:$N$131,2,FALSE),"")</f>
        <v/>
      </c>
      <c r="E82" s="298"/>
      <c r="F82" s="77" t="str">
        <f>IFERROR(VLOOKUP(C82,OB!$B$1:$N$131,6,FALSE),"")</f>
        <v/>
      </c>
      <c r="G82" s="296"/>
      <c r="H82" s="74"/>
      <c r="I82" s="67"/>
      <c r="J82" s="61"/>
      <c r="K82" s="61"/>
      <c r="L82" s="61"/>
      <c r="M82" s="61"/>
      <c r="N82" s="61"/>
      <c r="O82" s="68"/>
      <c r="P82" s="62"/>
      <c r="Q82" s="75" t="str">
        <f>IFERROR(VLOOKUP(R82,OB!$B$1:$N$131,4,FALSE),"")</f>
        <v/>
      </c>
      <c r="R82" s="76"/>
      <c r="S82" s="297" t="str">
        <f>IFERROR(VLOOKUP(R82,OB!$B$1:$N$131,2,FALSE),"")</f>
        <v/>
      </c>
      <c r="T82" s="298"/>
      <c r="U82" s="77" t="str">
        <f>IFERROR(VLOOKUP(R82,OB!$B$1:$N$131,6,FALSE),"")</f>
        <v/>
      </c>
      <c r="V82" s="296"/>
      <c r="W82" s="302"/>
    </row>
    <row r="83" spans="1:24" ht="13.5" customHeight="1" thickBot="1">
      <c r="A83" s="86"/>
      <c r="B83" s="148"/>
      <c r="D83" s="148"/>
      <c r="E83" s="148"/>
      <c r="I83" s="67"/>
      <c r="J83" s="61"/>
      <c r="K83" s="61"/>
      <c r="L83" s="61"/>
      <c r="M83" s="61"/>
      <c r="N83" s="61"/>
      <c r="O83" s="68"/>
      <c r="Q83" s="148"/>
      <c r="S83" s="148"/>
      <c r="T83" s="148"/>
      <c r="W83" s="86"/>
      <c r="X83" s="58"/>
    </row>
    <row r="84" spans="1:24" s="58" customFormat="1" ht="13.5" customHeight="1" thickBot="1">
      <c r="A84" s="301"/>
      <c r="B84" s="158" t="str">
        <f>IFERROR(VLOOKUP(C84,OB!$B$1:$N$131,4,FALSE),"")</f>
        <v/>
      </c>
      <c r="C84" s="64"/>
      <c r="D84" s="264" t="str">
        <f>IFERROR(VLOOKUP(C84,OB!$B$1:$N$131,2,FALSE),"")</f>
        <v/>
      </c>
      <c r="E84" s="265"/>
      <c r="F84" s="65" t="str">
        <f>IFERROR(VLOOKUP(C84,OB!$B$1:$N$131,6,FALSE),"")</f>
        <v/>
      </c>
      <c r="G84" s="66">
        <f>SUM(F84:F90)</f>
        <v>0</v>
      </c>
      <c r="H84" s="61"/>
      <c r="I84" s="67"/>
      <c r="J84" s="61"/>
      <c r="K84" s="61"/>
      <c r="L84" s="61"/>
      <c r="M84" s="61"/>
      <c r="N84" s="61"/>
      <c r="O84" s="68"/>
      <c r="P84" s="62"/>
      <c r="Q84" s="158" t="str">
        <f>IFERROR(VLOOKUP(R84,OB!$B$1:$N$131,4,FALSE),"")</f>
        <v/>
      </c>
      <c r="R84" s="64"/>
      <c r="S84" s="264" t="str">
        <f>IFERROR(VLOOKUP(R84,OB!$B$1:$N$131,2,FALSE),"")</f>
        <v/>
      </c>
      <c r="T84" s="265"/>
      <c r="U84" s="65" t="str">
        <f>IFERROR(VLOOKUP(R84,OB!$B$1:$N$131,6,FALSE),"")</f>
        <v/>
      </c>
      <c r="V84" s="66">
        <f>SUM(U84:U90)</f>
        <v>0</v>
      </c>
      <c r="W84" s="302"/>
    </row>
    <row r="85" spans="1:24" s="58" customFormat="1" ht="13.5" customHeight="1">
      <c r="A85" s="301"/>
      <c r="B85" s="69" t="str">
        <f>IFERROR(VLOOKUP(C85,OB!$B$1:$N$131,4,FALSE),"")</f>
        <v/>
      </c>
      <c r="C85" s="64">
        <v>72</v>
      </c>
      <c r="D85" s="262" t="str">
        <f>IFERROR(VLOOKUP(C85,OB!$B$1:$N$131,2,FALSE),"")</f>
        <v/>
      </c>
      <c r="E85" s="263"/>
      <c r="F85" s="71" t="str">
        <f>IFERROR(VLOOKUP(C85,OB!$B$1:$N$131,6,FALSE),"")</f>
        <v/>
      </c>
      <c r="G85" s="266" t="str">
        <f>IFERROR(60/G84,"")</f>
        <v/>
      </c>
      <c r="H85" s="72"/>
      <c r="I85" s="67"/>
      <c r="J85" s="61"/>
      <c r="K85" s="61"/>
      <c r="L85" s="61"/>
      <c r="M85" s="61"/>
      <c r="N85" s="61"/>
      <c r="O85" s="68"/>
      <c r="P85" s="62"/>
      <c r="Q85" s="69" t="str">
        <f>IFERROR(VLOOKUP(R85,OB!$B$1:$N$131,4,FALSE),"")</f>
        <v/>
      </c>
      <c r="R85" s="70"/>
      <c r="S85" s="262" t="str">
        <f>IFERROR(VLOOKUP(R85,OB!$B$1:$N$131,2,FALSE),"")</f>
        <v/>
      </c>
      <c r="T85" s="263"/>
      <c r="U85" s="71" t="str">
        <f>IFERROR(VLOOKUP(R85,OB!$B$1:$N$131,6,FALSE),"")</f>
        <v/>
      </c>
      <c r="V85" s="266" t="str">
        <f>IFERROR(60/V84,"")</f>
        <v/>
      </c>
      <c r="W85" s="302"/>
    </row>
    <row r="86" spans="1:24" s="58" customFormat="1" ht="13.5" customHeight="1">
      <c r="A86" s="301"/>
      <c r="B86" s="69" t="str">
        <f>IFERROR(VLOOKUP(C86,OB!$B$1:$N$131,4,FALSE),"")</f>
        <v/>
      </c>
      <c r="C86" s="70">
        <v>73</v>
      </c>
      <c r="D86" s="262" t="str">
        <f>IFERROR(VLOOKUP(C86,OB!$B$1:$N$131,2,FALSE),"")</f>
        <v/>
      </c>
      <c r="E86" s="263"/>
      <c r="F86" s="71" t="str">
        <f>IFERROR(VLOOKUP(C86,OB!$B$1:$N$131,6,FALSE),"")</f>
        <v/>
      </c>
      <c r="G86" s="267"/>
      <c r="H86" s="72"/>
      <c r="I86" s="67"/>
      <c r="J86" s="61"/>
      <c r="K86" s="61"/>
      <c r="L86" s="61"/>
      <c r="M86" s="61"/>
      <c r="N86" s="61"/>
      <c r="O86" s="68"/>
      <c r="P86" s="62"/>
      <c r="Q86" s="69" t="str">
        <f>IFERROR(VLOOKUP(R86,OB!$B$1:$N$131,4,FALSE),"")</f>
        <v/>
      </c>
      <c r="R86" s="70"/>
      <c r="S86" s="262" t="str">
        <f>IFERROR(VLOOKUP(R86,OB!$B$1:$N$131,2,FALSE),"")</f>
        <v/>
      </c>
      <c r="T86" s="263"/>
      <c r="U86" s="71" t="str">
        <f>IFERROR(VLOOKUP(R86,OB!$B$1:$N$131,6,FALSE),"")</f>
        <v/>
      </c>
      <c r="V86" s="267"/>
      <c r="W86" s="302"/>
    </row>
    <row r="87" spans="1:24" s="58" customFormat="1" ht="13.5" customHeight="1">
      <c r="A87" s="301"/>
      <c r="B87" s="69" t="str">
        <f>IFERROR(VLOOKUP(C87,OB!$B$1:$N$131,4,FALSE),"")</f>
        <v/>
      </c>
      <c r="C87" s="70">
        <v>74</v>
      </c>
      <c r="D87" s="262" t="str">
        <f>IFERROR(VLOOKUP(C87,OB!$B$1:$N$131,2,FALSE),"")</f>
        <v/>
      </c>
      <c r="E87" s="263"/>
      <c r="F87" s="71" t="str">
        <f>IFERROR(VLOOKUP(C87,OB!$B$1:$N$131,6,FALSE),"")</f>
        <v/>
      </c>
      <c r="G87" s="73"/>
      <c r="H87" s="72"/>
      <c r="I87" s="67"/>
      <c r="J87" s="61"/>
      <c r="K87" s="61"/>
      <c r="L87" s="61"/>
      <c r="M87" s="61"/>
      <c r="N87" s="61"/>
      <c r="O87" s="68"/>
      <c r="P87" s="62"/>
      <c r="Q87" s="69" t="str">
        <f>IFERROR(VLOOKUP(R87,OB!$B$1:$N$131,4,FALSE),"")</f>
        <v/>
      </c>
      <c r="R87" s="70">
        <v>85</v>
      </c>
      <c r="S87" s="262" t="str">
        <f>IFERROR(VLOOKUP(R87,OB!$B$1:$N$131,2,FALSE),"")</f>
        <v/>
      </c>
      <c r="T87" s="263"/>
      <c r="U87" s="71" t="str">
        <f>IFERROR(VLOOKUP(R87,OB!$B$1:$N$131,6,FALSE),"")</f>
        <v/>
      </c>
      <c r="V87" s="73"/>
      <c r="W87" s="302"/>
    </row>
    <row r="88" spans="1:24" s="58" customFormat="1" ht="13.5" customHeight="1">
      <c r="A88" s="301"/>
      <c r="B88" s="69" t="str">
        <f>IFERROR(VLOOKUP(C88,OB!$B$1:$N$131,4,FALSE),"")</f>
        <v/>
      </c>
      <c r="C88" s="70">
        <v>76</v>
      </c>
      <c r="D88" s="291" t="str">
        <f>IFERROR(VLOOKUP(C88,OB!$B$1:$N$131,2,FALSE),"")</f>
        <v/>
      </c>
      <c r="E88" s="292"/>
      <c r="F88" s="71" t="str">
        <f>IFERROR(VLOOKUP(C88,OB!$B$1:$N$131,6,FALSE),"")</f>
        <v/>
      </c>
      <c r="G88" s="73"/>
      <c r="H88" s="74"/>
      <c r="I88" s="67"/>
      <c r="J88" s="61"/>
      <c r="K88" s="61"/>
      <c r="L88" s="61"/>
      <c r="M88" s="61"/>
      <c r="N88" s="61"/>
      <c r="O88" s="68"/>
      <c r="P88" s="62"/>
      <c r="Q88" s="69" t="str">
        <f>IFERROR(VLOOKUP(R88,OB!$B$1:$N$131,4,FALSE),"")</f>
        <v/>
      </c>
      <c r="R88" s="70"/>
      <c r="S88" s="291" t="str">
        <f>IFERROR(VLOOKUP(R88,OB!$B$1:$N$131,2,FALSE),"")</f>
        <v/>
      </c>
      <c r="T88" s="292"/>
      <c r="U88" s="71" t="str">
        <f>IFERROR(VLOOKUP(R88,OB!$B$1:$N$131,6,FALSE),"")</f>
        <v/>
      </c>
      <c r="V88" s="73"/>
      <c r="W88" s="302"/>
    </row>
    <row r="89" spans="1:24" s="58" customFormat="1" ht="13.5" customHeight="1">
      <c r="A89" s="301"/>
      <c r="B89" s="69" t="str">
        <f>IFERROR(VLOOKUP(C89,OB!$B$1:$N$131,4,FALSE),"")</f>
        <v/>
      </c>
      <c r="C89" s="70">
        <v>77</v>
      </c>
      <c r="D89" s="291" t="str">
        <f>IFERROR(VLOOKUP(C89,OB!$B$1:$N$131,2,FALSE),"")</f>
        <v/>
      </c>
      <c r="E89" s="292"/>
      <c r="F89" s="71" t="str">
        <f>IFERROR(VLOOKUP(C89,OB!$B$1:$N$131,6,FALSE),"")</f>
        <v/>
      </c>
      <c r="G89" s="295">
        <f>IFERROR(G84/$T$10,"")</f>
        <v>0</v>
      </c>
      <c r="H89" s="74"/>
      <c r="I89" s="67"/>
      <c r="J89" s="61"/>
      <c r="K89" s="61"/>
      <c r="L89" s="61"/>
      <c r="M89" s="61"/>
      <c r="N89" s="61"/>
      <c r="O89" s="68"/>
      <c r="P89" s="62"/>
      <c r="Q89" s="69" t="str">
        <f>IFERROR(VLOOKUP(R89,OB!$B$1:$N$131,4,FALSE),"")</f>
        <v/>
      </c>
      <c r="R89" s="70"/>
      <c r="S89" s="291" t="str">
        <f>IFERROR(VLOOKUP(R89,OB!$B$1:$N$131,2,FALSE),"")</f>
        <v/>
      </c>
      <c r="T89" s="292"/>
      <c r="U89" s="71" t="str">
        <f>IFERROR(VLOOKUP(R89,OB!$B$1:$N$131,6,FALSE),"")</f>
        <v/>
      </c>
      <c r="V89" s="295">
        <f>IFERROR(V84/$T$10,"")</f>
        <v>0</v>
      </c>
      <c r="W89" s="302"/>
    </row>
    <row r="90" spans="1:24" s="58" customFormat="1" ht="13.5" customHeight="1" thickBot="1">
      <c r="A90" s="301"/>
      <c r="B90" s="150" t="str">
        <f>IFERROR(VLOOKUP(C90,OB!$B$1:$N$131,4,FALSE),"")</f>
        <v/>
      </c>
      <c r="C90" s="76"/>
      <c r="D90" s="297" t="str">
        <f>IFERROR(VLOOKUP(C90,OB!$B$1:$N$131,2,FALSE),"")</f>
        <v/>
      </c>
      <c r="E90" s="298"/>
      <c r="F90" s="77" t="str">
        <f>IFERROR(VLOOKUP(C90,OB!$B$1:$N$131,6,FALSE),"")</f>
        <v/>
      </c>
      <c r="G90" s="296"/>
      <c r="H90" s="74"/>
      <c r="I90" s="67"/>
      <c r="J90" s="61"/>
      <c r="K90" s="61"/>
      <c r="L90" s="61"/>
      <c r="M90" s="61"/>
      <c r="N90" s="61"/>
      <c r="O90" s="68"/>
      <c r="P90" s="62"/>
      <c r="Q90" s="75" t="str">
        <f>IFERROR(VLOOKUP(R90,OB!$B$1:$N$131,4,FALSE),"")</f>
        <v/>
      </c>
      <c r="R90" s="76"/>
      <c r="S90" s="297" t="str">
        <f>IFERROR(VLOOKUP(R90,OB!$B$1:$N$131,2,FALSE),"")</f>
        <v/>
      </c>
      <c r="T90" s="298"/>
      <c r="U90" s="77" t="str">
        <f>IFERROR(VLOOKUP(R90,OB!$B$1:$N$131,6,FALSE),"")</f>
        <v/>
      </c>
      <c r="V90" s="296"/>
      <c r="W90" s="302"/>
    </row>
    <row r="91" spans="1:24" ht="13.5" customHeight="1" thickBot="1">
      <c r="A91" s="86"/>
      <c r="B91" s="148"/>
      <c r="D91" s="148"/>
      <c r="E91" s="148"/>
      <c r="I91" s="67"/>
      <c r="J91" s="61"/>
      <c r="K91" s="61"/>
      <c r="L91" s="61"/>
      <c r="M91" s="61"/>
      <c r="N91" s="61"/>
      <c r="O91" s="68"/>
      <c r="Q91" s="148"/>
      <c r="S91" s="148"/>
      <c r="T91" s="148"/>
      <c r="W91" s="86"/>
      <c r="X91" s="58"/>
    </row>
    <row r="92" spans="1:24" s="58" customFormat="1" ht="13.5" customHeight="1">
      <c r="A92" s="301"/>
      <c r="B92" s="158" t="str">
        <f>IFERROR(VLOOKUP(C92,OB!$B$1:$N$131,4,FALSE),"")</f>
        <v/>
      </c>
      <c r="C92" s="64"/>
      <c r="D92" s="264" t="str">
        <f>IFERROR(VLOOKUP(C92,OB!$B$1:$N$131,2,FALSE),"")</f>
        <v/>
      </c>
      <c r="E92" s="265"/>
      <c r="F92" s="65" t="str">
        <f>IFERROR(VLOOKUP(C92,OB!$B$1:$N$131,6,FALSE),"")</f>
        <v/>
      </c>
      <c r="G92" s="66">
        <f>SUM(F92:F97)</f>
        <v>0</v>
      </c>
      <c r="H92" s="61"/>
      <c r="I92" s="67"/>
      <c r="J92" s="61"/>
      <c r="K92" s="61"/>
      <c r="L92" s="61"/>
      <c r="M92" s="61"/>
      <c r="N92" s="61"/>
      <c r="O92" s="68"/>
      <c r="P92" s="62"/>
      <c r="Q92" s="158" t="str">
        <f>IFERROR(VLOOKUP(R92,OB!$B$1:$N$131,4,FALSE),"")</f>
        <v/>
      </c>
      <c r="R92" s="64"/>
      <c r="S92" s="264" t="str">
        <f>IFERROR(VLOOKUP(R92,OB!$B$1:$N$131,2,FALSE),"")</f>
        <v/>
      </c>
      <c r="T92" s="265"/>
      <c r="U92" s="65" t="str">
        <f>IFERROR(VLOOKUP(R92,OB!$B$1:$N$131,6,FALSE),"")</f>
        <v/>
      </c>
      <c r="V92" s="66">
        <f>SUM(U92:U97)</f>
        <v>1.18</v>
      </c>
      <c r="W92" s="302"/>
    </row>
    <row r="93" spans="1:24" s="58" customFormat="1" ht="13.5" customHeight="1">
      <c r="A93" s="301"/>
      <c r="B93" s="69" t="str">
        <f>IFERROR(VLOOKUP(C93,OB!$B$1:$N$131,4,FALSE),"")</f>
        <v/>
      </c>
      <c r="C93" s="70"/>
      <c r="D93" s="262" t="str">
        <f>IFERROR(VLOOKUP(C93,OB!$B$1:$N$131,2,FALSE),"")</f>
        <v/>
      </c>
      <c r="E93" s="263"/>
      <c r="F93" s="71" t="str">
        <f>IFERROR(VLOOKUP(C93,OB!$B$1:$N$131,6,FALSE),"")</f>
        <v/>
      </c>
      <c r="G93" s="266" t="str">
        <f>IFERROR(60/G92,"")</f>
        <v/>
      </c>
      <c r="H93" s="72"/>
      <c r="I93" s="67"/>
      <c r="J93" s="61"/>
      <c r="K93" s="61"/>
      <c r="L93" s="61"/>
      <c r="M93" s="61"/>
      <c r="N93" s="61"/>
      <c r="O93" s="68"/>
      <c r="P93" s="62"/>
      <c r="Q93" s="69" t="str">
        <f>IFERROR(VLOOKUP(R93,OB!$B$1:$N$131,4,FALSE),"")</f>
        <v/>
      </c>
      <c r="R93" s="70"/>
      <c r="S93" s="262" t="str">
        <f>IFERROR(VLOOKUP(R93,OB!$B$1:$N$131,2,FALSE),"")</f>
        <v/>
      </c>
      <c r="T93" s="263"/>
      <c r="U93" s="71" t="str">
        <f>IFERROR(VLOOKUP(R93,OB!$B$1:$N$131,6,FALSE),"")</f>
        <v/>
      </c>
      <c r="V93" s="266">
        <f>IFERROR(60/V92,"")</f>
        <v>50.847457627118644</v>
      </c>
      <c r="W93" s="302"/>
    </row>
    <row r="94" spans="1:24" s="58" customFormat="1" ht="13.5" customHeight="1">
      <c r="A94" s="301"/>
      <c r="B94" s="69" t="str">
        <f>IFERROR(VLOOKUP(C94,OB!$B$1:$N$131,4,FALSE),"")</f>
        <v/>
      </c>
      <c r="C94" s="70">
        <v>75</v>
      </c>
      <c r="D94" s="262" t="str">
        <f>IFERROR(VLOOKUP(C94,OB!$B$1:$N$131,2,FALSE),"")</f>
        <v/>
      </c>
      <c r="E94" s="263"/>
      <c r="F94" s="71" t="str">
        <f>IFERROR(VLOOKUP(C94,OB!$B$1:$N$131,6,FALSE),"")</f>
        <v/>
      </c>
      <c r="G94" s="267"/>
      <c r="H94" s="72"/>
      <c r="I94" s="67"/>
      <c r="J94" s="61"/>
      <c r="K94" s="61"/>
      <c r="L94" s="61"/>
      <c r="M94" s="61"/>
      <c r="N94" s="61"/>
      <c r="O94" s="68"/>
      <c r="P94" s="62"/>
      <c r="Q94" s="69" t="str">
        <f>IFERROR(VLOOKUP(R94,OB!$B$1:$N$131,4,FALSE),"")</f>
        <v>BTK</v>
      </c>
      <c r="R94" s="70">
        <v>57</v>
      </c>
      <c r="S94" s="262" t="str">
        <f>IFERROR(VLOOKUP(R94,OB!$B$1:$N$131,2,FALSE),"")</f>
        <v>1ST LOOP TACK  BTK *5</v>
      </c>
      <c r="T94" s="263"/>
      <c r="U94" s="71">
        <f>IFERROR(VLOOKUP(R94,OB!$B$1:$N$131,6,FALSE),"")</f>
        <v>0.3</v>
      </c>
      <c r="V94" s="267"/>
      <c r="W94" s="302"/>
    </row>
    <row r="95" spans="1:24" s="58" customFormat="1" ht="13.5" customHeight="1">
      <c r="A95" s="301"/>
      <c r="B95" s="69" t="str">
        <f>IFERROR(VLOOKUP(C95,OB!$B$1:$N$131,4,FALSE),"")</f>
        <v/>
      </c>
      <c r="C95" s="70"/>
      <c r="D95" s="262" t="str">
        <f>IFERROR(VLOOKUP(C95,OB!$B$1:$N$131,2,FALSE),"")</f>
        <v/>
      </c>
      <c r="E95" s="263"/>
      <c r="F95" s="71" t="str">
        <f>IFERROR(VLOOKUP(C95,OB!$B$1:$N$131,6,FALSE),"")</f>
        <v/>
      </c>
      <c r="G95" s="73"/>
      <c r="H95" s="72"/>
      <c r="I95" s="67"/>
      <c r="J95" s="61"/>
      <c r="K95" s="61"/>
      <c r="L95" s="61"/>
      <c r="M95" s="61"/>
      <c r="N95" s="61"/>
      <c r="O95" s="68"/>
      <c r="P95" s="62"/>
      <c r="Q95" s="69" t="str">
        <f>IFERROR(VLOOKUP(R95,OB!$B$1:$N$131,4,FALSE),"")</f>
        <v>BTK</v>
      </c>
      <c r="R95" s="70">
        <v>59</v>
      </c>
      <c r="S95" s="262" t="str">
        <f>IFERROR(VLOOKUP(R95,OB!$B$1:$N$131,2,FALSE),"")</f>
        <v>2ND LOOP TACK BTK *5</v>
      </c>
      <c r="T95" s="263"/>
      <c r="U95" s="71">
        <f>IFERROR(VLOOKUP(R95,OB!$B$1:$N$131,6,FALSE),"")</f>
        <v>0.3</v>
      </c>
      <c r="V95" s="73"/>
      <c r="W95" s="302"/>
    </row>
    <row r="96" spans="1:24" s="58" customFormat="1" ht="13.5" customHeight="1">
      <c r="A96" s="301"/>
      <c r="B96" s="69" t="str">
        <f>IFERROR(VLOOKUP(C96,OB!$B$1:$N$131,4,FALSE),"")</f>
        <v/>
      </c>
      <c r="C96" s="70"/>
      <c r="D96" s="291" t="str">
        <f>IFERROR(VLOOKUP(C96,OB!$B$1:$N$131,2,FALSE),"")</f>
        <v/>
      </c>
      <c r="E96" s="292"/>
      <c r="F96" s="71" t="str">
        <f>IFERROR(VLOOKUP(C96,OB!$B$1:$N$131,6,FALSE),"")</f>
        <v/>
      </c>
      <c r="G96" s="295">
        <f>IFERROR(G92/$T$10,"")</f>
        <v>0</v>
      </c>
      <c r="H96" s="74"/>
      <c r="I96" s="67"/>
      <c r="J96" s="61"/>
      <c r="K96" s="61"/>
      <c r="L96" s="61"/>
      <c r="M96" s="61"/>
      <c r="N96" s="61"/>
      <c r="O96" s="68"/>
      <c r="P96" s="62"/>
      <c r="Q96" s="69" t="str">
        <f>IFERROR(VLOOKUP(R96,OB!$B$1:$N$131,4,FALSE),"")</f>
        <v>5OL</v>
      </c>
      <c r="R96" s="70">
        <v>60</v>
      </c>
      <c r="S96" s="291" t="str">
        <f>IFERROR(VLOOKUP(R96,OB!$B$1:$N$131,2,FALSE),"")</f>
        <v>IN SEAM JOIN *1</v>
      </c>
      <c r="T96" s="292"/>
      <c r="U96" s="71">
        <f>IFERROR(VLOOKUP(R96,OB!$B$1:$N$131,6,FALSE),"")</f>
        <v>0.57999999999999996</v>
      </c>
      <c r="V96" s="295">
        <f>IFERROR(V92/$T$10,"")</f>
        <v>0.62231237322515209</v>
      </c>
      <c r="W96" s="302"/>
    </row>
    <row r="97" spans="1:24" s="58" customFormat="1" ht="13.5" customHeight="1" thickBot="1">
      <c r="A97" s="301"/>
      <c r="B97" s="150" t="str">
        <f>IFERROR(VLOOKUP(C97,OB!$B$1:$N$131,4,FALSE),"")</f>
        <v/>
      </c>
      <c r="C97" s="76"/>
      <c r="D97" s="297" t="str">
        <f>IFERROR(VLOOKUP(C97,OB!$B$1:$N$131,2,FALSE),"")</f>
        <v/>
      </c>
      <c r="E97" s="298"/>
      <c r="F97" s="77" t="str">
        <f>IFERROR(VLOOKUP(C97,OB!$B$1:$N$131,6,FALSE),"")</f>
        <v/>
      </c>
      <c r="G97" s="296"/>
      <c r="H97" s="74"/>
      <c r="I97" s="67"/>
      <c r="J97" s="61"/>
      <c r="K97" s="61"/>
      <c r="L97" s="61"/>
      <c r="M97" s="61"/>
      <c r="N97" s="61"/>
      <c r="O97" s="68"/>
      <c r="P97" s="62"/>
      <c r="Q97" s="75" t="str">
        <f>IFERROR(VLOOKUP(R97,OB!$B$1:$N$131,4,FALSE),"")</f>
        <v/>
      </c>
      <c r="R97" s="76"/>
      <c r="S97" s="297" t="str">
        <f>IFERROR(VLOOKUP(R97,OB!$B$1:$N$131,2,FALSE),"")</f>
        <v/>
      </c>
      <c r="T97" s="298"/>
      <c r="U97" s="77" t="str">
        <f>IFERROR(VLOOKUP(R97,OB!$B$1:$N$131,6,FALSE),"")</f>
        <v/>
      </c>
      <c r="V97" s="296"/>
      <c r="W97" s="302"/>
    </row>
    <row r="98" spans="1:24" ht="13.5" customHeight="1" thickBot="1">
      <c r="A98" s="86"/>
      <c r="B98" s="148"/>
      <c r="D98" s="148"/>
      <c r="E98" s="148"/>
      <c r="I98" s="67"/>
      <c r="J98" s="61"/>
      <c r="K98" s="61"/>
      <c r="L98" s="61"/>
      <c r="M98" s="61"/>
      <c r="N98" s="61"/>
      <c r="O98" s="68"/>
      <c r="Q98" s="148"/>
      <c r="S98" s="148"/>
      <c r="T98" s="148"/>
      <c r="W98" s="86"/>
      <c r="X98" s="58"/>
    </row>
    <row r="99" spans="1:24" s="58" customFormat="1" ht="13.5" customHeight="1">
      <c r="A99" s="301"/>
      <c r="B99" s="158" t="str">
        <f>IFERROR(VLOOKUP(C99,OB!$B$1:$N$131,4,FALSE),"")</f>
        <v/>
      </c>
      <c r="C99" s="64"/>
      <c r="D99" s="264" t="str">
        <f>IFERROR(VLOOKUP(C99,OB!$B$1:$N$131,2,FALSE),"")</f>
        <v/>
      </c>
      <c r="E99" s="265"/>
      <c r="F99" s="65" t="str">
        <f>IFERROR(VLOOKUP(C99,OB!$B$1:$N$131,6,FALSE),"")</f>
        <v/>
      </c>
      <c r="G99" s="66">
        <f>SUM(F99:F104)</f>
        <v>0.95</v>
      </c>
      <c r="H99" s="61"/>
      <c r="I99" s="67"/>
      <c r="J99" s="61"/>
      <c r="K99" s="61"/>
      <c r="L99" s="61"/>
      <c r="M99" s="61"/>
      <c r="N99" s="61"/>
      <c r="O99" s="68"/>
      <c r="P99" s="62"/>
      <c r="Q99" s="158" t="str">
        <f>IFERROR(VLOOKUP(R99,OB!$B$1:$N$131,4,FALSE),"")</f>
        <v/>
      </c>
      <c r="R99" s="64"/>
      <c r="S99" s="264" t="str">
        <f>IFERROR(VLOOKUP(R99,OB!$B$1:$N$131,2,FALSE),"")</f>
        <v/>
      </c>
      <c r="T99" s="265"/>
      <c r="U99" s="65" t="str">
        <f>IFERROR(VLOOKUP(R99,OB!$B$1:$N$131,6,FALSE),"")</f>
        <v/>
      </c>
      <c r="V99" s="66">
        <f>SUM(U99:U104)</f>
        <v>0.88</v>
      </c>
      <c r="W99" s="302"/>
    </row>
    <row r="100" spans="1:24" s="58" customFormat="1" ht="13.5" customHeight="1">
      <c r="A100" s="301"/>
      <c r="B100" s="69" t="str">
        <f>IFERROR(VLOOKUP(C100,OB!$B$1:$N$131,4,FALSE),"")</f>
        <v>SN</v>
      </c>
      <c r="C100" s="70">
        <v>40</v>
      </c>
      <c r="D100" s="262" t="str">
        <f>IFERROR(VLOOKUP(C100,OB!$B$1:$N$131,2,FALSE),"")</f>
        <v>BACK DART MAKE *2</v>
      </c>
      <c r="E100" s="263"/>
      <c r="F100" s="71">
        <f>IFERROR(VLOOKUP(C100,OB!$B$1:$N$131,6,FALSE),"")</f>
        <v>0.44</v>
      </c>
      <c r="G100" s="266">
        <f>IFERROR(60/G99,"")</f>
        <v>63.15789473684211</v>
      </c>
      <c r="H100" s="72"/>
      <c r="I100" s="67"/>
      <c r="J100" s="61"/>
      <c r="K100" s="61"/>
      <c r="L100" s="61"/>
      <c r="M100" s="61"/>
      <c r="N100" s="61"/>
      <c r="O100" s="68"/>
      <c r="P100" s="62"/>
      <c r="Q100" s="69" t="str">
        <f>IFERROR(VLOOKUP(R100,OB!$B$1:$N$131,4,FALSE),"")</f>
        <v>SN</v>
      </c>
      <c r="R100" s="70">
        <v>12</v>
      </c>
      <c r="S100" s="262" t="str">
        <f>IFERROR(VLOOKUP(R100,OB!$B$1:$N$131,2,FALSE),"")</f>
        <v>FRONT PKT MOUTH STRY STTICH *2</v>
      </c>
      <c r="T100" s="263"/>
      <c r="U100" s="71">
        <f>IFERROR(VLOOKUP(R100,OB!$B$1:$N$131,6,FALSE),"")</f>
        <v>0.46</v>
      </c>
      <c r="V100" s="266">
        <f>IFERROR(60/V99,"")</f>
        <v>68.181818181818187</v>
      </c>
      <c r="W100" s="302"/>
    </row>
    <row r="101" spans="1:24" s="58" customFormat="1" ht="13.5" customHeight="1">
      <c r="A101" s="301"/>
      <c r="B101" s="69" t="str">
        <f>IFERROR(VLOOKUP(C101,OB!$B$1:$N$131,4,FALSE),"")</f>
        <v>BTK</v>
      </c>
      <c r="C101" s="70">
        <v>17</v>
      </c>
      <c r="D101" s="262" t="str">
        <f>IFERROR(VLOOKUP(C101,OB!$B$1:$N$131,2,FALSE),"")</f>
        <v>FRONT PKT MOUTH BTK *4</v>
      </c>
      <c r="E101" s="263"/>
      <c r="F101" s="71">
        <f>IFERROR(VLOOKUP(C101,OB!$B$1:$N$131,6,FALSE),"")</f>
        <v>0.24</v>
      </c>
      <c r="G101" s="267"/>
      <c r="H101" s="72"/>
      <c r="I101" s="67"/>
      <c r="J101" s="61"/>
      <c r="K101" s="61"/>
      <c r="L101" s="61"/>
      <c r="M101" s="61"/>
      <c r="N101" s="61"/>
      <c r="O101" s="68"/>
      <c r="P101" s="62"/>
      <c r="Q101" s="69" t="str">
        <f>IFERROR(VLOOKUP(R101,OB!$B$1:$N$131,4,FALSE),"")</f>
        <v>SN</v>
      </c>
      <c r="R101" s="70">
        <v>37</v>
      </c>
      <c r="S101" s="262" t="str">
        <f>IFERROR(VLOOKUP(R101,OB!$B$1:$N$131,2,FALSE),"")</f>
        <v>BACK WELT PKT BAG LABEL ATTACH *1</v>
      </c>
      <c r="T101" s="263"/>
      <c r="U101" s="71">
        <f>IFERROR(VLOOKUP(R101,OB!$B$1:$N$131,6,FALSE),"")</f>
        <v>0.42</v>
      </c>
      <c r="V101" s="267"/>
      <c r="W101" s="302"/>
    </row>
    <row r="102" spans="1:24" s="58" customFormat="1" ht="13.5" customHeight="1">
      <c r="A102" s="301"/>
      <c r="B102" s="69" t="str">
        <f>IFERROR(VLOOKUP(C102,OB!$B$1:$N$131,4,FALSE),"")</f>
        <v>3OL</v>
      </c>
      <c r="C102" s="70">
        <v>19</v>
      </c>
      <c r="D102" s="262" t="str">
        <f>IFERROR(VLOOKUP(C102,OB!$B$1:$N$131,2,FALSE),"")</f>
        <v>FLY FACIN EDGE OL *1</v>
      </c>
      <c r="E102" s="263"/>
      <c r="F102" s="71">
        <f>IFERROR(VLOOKUP(C102,OB!$B$1:$N$131,6,FALSE),"")</f>
        <v>0.15</v>
      </c>
      <c r="G102" s="73"/>
      <c r="H102" s="72"/>
      <c r="I102" s="67"/>
      <c r="J102" s="61"/>
      <c r="K102" s="61"/>
      <c r="L102" s="61"/>
      <c r="M102" s="61"/>
      <c r="N102" s="61"/>
      <c r="O102" s="68"/>
      <c r="P102" s="62"/>
      <c r="Q102" s="69" t="str">
        <f>IFERROR(VLOOKUP(R102,OB!$B$1:$N$131,4,FALSE),"")</f>
        <v/>
      </c>
      <c r="R102" s="70"/>
      <c r="S102" s="262" t="str">
        <f>IFERROR(VLOOKUP(R102,OB!$B$1:$N$131,2,FALSE),"")</f>
        <v/>
      </c>
      <c r="T102" s="263"/>
      <c r="U102" s="71" t="str">
        <f>IFERROR(VLOOKUP(R102,OB!$B$1:$N$131,6,FALSE),"")</f>
        <v/>
      </c>
      <c r="V102" s="73"/>
      <c r="W102" s="302"/>
    </row>
    <row r="103" spans="1:24" s="58" customFormat="1" ht="13.5" customHeight="1">
      <c r="A103" s="301"/>
      <c r="B103" s="69" t="str">
        <f>IFERROR(VLOOKUP(C103,OB!$B$1:$N$131,4,FALSE),"")</f>
        <v>3OL</v>
      </c>
      <c r="C103" s="70">
        <v>20</v>
      </c>
      <c r="D103" s="291" t="str">
        <f>IFERROR(VLOOKUP(C103,OB!$B$1:$N$131,2,FALSE),"")</f>
        <v>FLY BOX EDGE OL *1</v>
      </c>
      <c r="E103" s="292"/>
      <c r="F103" s="71">
        <f>IFERROR(VLOOKUP(C103,OB!$B$1:$N$131,6,FALSE),"")</f>
        <v>0.12</v>
      </c>
      <c r="G103" s="295">
        <f>IFERROR(G99/$T$10,"")</f>
        <v>0.5010141987829615</v>
      </c>
      <c r="H103" s="74"/>
      <c r="I103" s="67"/>
      <c r="J103" s="61"/>
      <c r="K103" s="61"/>
      <c r="L103" s="61"/>
      <c r="M103" s="61"/>
      <c r="N103" s="61"/>
      <c r="O103" s="68"/>
      <c r="P103" s="62"/>
      <c r="Q103" s="69" t="str">
        <f>IFERROR(VLOOKUP(R103,OB!$B$1:$N$131,4,FALSE),"")</f>
        <v/>
      </c>
      <c r="R103" s="70"/>
      <c r="S103" s="291" t="str">
        <f>IFERROR(VLOOKUP(R103,OB!$B$1:$N$131,2,FALSE),"")</f>
        <v/>
      </c>
      <c r="T103" s="292"/>
      <c r="U103" s="71" t="str">
        <f>IFERROR(VLOOKUP(R103,OB!$B$1:$N$131,6,FALSE),"")</f>
        <v/>
      </c>
      <c r="V103" s="295">
        <f>IFERROR(V99/$T$10,"")</f>
        <v>0.46409736308316429</v>
      </c>
      <c r="W103" s="302"/>
    </row>
    <row r="104" spans="1:24" s="58" customFormat="1" ht="13.5" customHeight="1" thickBot="1">
      <c r="A104" s="301"/>
      <c r="B104" s="150" t="str">
        <f>IFERROR(VLOOKUP(C104,OB!$B$1:$N$131,4,FALSE),"")</f>
        <v/>
      </c>
      <c r="C104" s="76"/>
      <c r="D104" s="297" t="str">
        <f>IFERROR(VLOOKUP(C104,OB!$B$1:$N$131,2,FALSE),"")</f>
        <v/>
      </c>
      <c r="E104" s="298"/>
      <c r="F104" s="77" t="str">
        <f>IFERROR(VLOOKUP(C104,OB!$B$1:$N$131,6,FALSE),"")</f>
        <v/>
      </c>
      <c r="G104" s="296"/>
      <c r="H104" s="74"/>
      <c r="I104" s="67"/>
      <c r="J104" s="61"/>
      <c r="K104" s="61"/>
      <c r="L104" s="61"/>
      <c r="M104" s="61"/>
      <c r="N104" s="61"/>
      <c r="O104" s="68"/>
      <c r="P104" s="62"/>
      <c r="Q104" s="150" t="str">
        <f>IFERROR(VLOOKUP(R104,OB!$B$1:$N$131,4,FALSE),"")</f>
        <v/>
      </c>
      <c r="R104" s="76"/>
      <c r="S104" s="297" t="str">
        <f>IFERROR(VLOOKUP(R104,OB!$B$1:$N$131,2,FALSE),"")</f>
        <v/>
      </c>
      <c r="T104" s="298"/>
      <c r="U104" s="77" t="str">
        <f>IFERROR(VLOOKUP(R104,OB!$B$1:$N$131,6,FALSE),"")</f>
        <v/>
      </c>
      <c r="V104" s="296"/>
      <c r="W104" s="302"/>
    </row>
    <row r="105" spans="1:24" ht="13.5" customHeight="1" thickBot="1">
      <c r="A105" s="86"/>
      <c r="D105" s="148"/>
      <c r="E105" s="148"/>
      <c r="I105" s="67"/>
      <c r="J105" s="61"/>
      <c r="K105" s="61"/>
      <c r="L105" s="61"/>
      <c r="M105" s="61"/>
      <c r="N105" s="61"/>
      <c r="O105" s="68"/>
      <c r="Q105" s="148"/>
      <c r="S105" s="148"/>
      <c r="T105" s="148"/>
      <c r="W105" s="86"/>
      <c r="X105" s="58"/>
    </row>
    <row r="106" spans="1:24" s="58" customFormat="1" ht="13.5" customHeight="1">
      <c r="A106" s="301"/>
      <c r="B106" s="63" t="str">
        <f>IFERROR(VLOOKUP(C106,OB!$B$1:$N$131,4,FALSE),"")</f>
        <v/>
      </c>
      <c r="C106" s="64"/>
      <c r="D106" s="264" t="str">
        <f>IFERROR(VLOOKUP(C106,OB!$B$1:$N$131,2,FALSE),"")</f>
        <v/>
      </c>
      <c r="E106" s="265"/>
      <c r="F106" s="65" t="str">
        <f>IFERROR(VLOOKUP(C106,OB!$B$1:$N$131,6,FALSE),"")</f>
        <v/>
      </c>
      <c r="G106" s="66">
        <f>SUM(F106:F112)</f>
        <v>0.26</v>
      </c>
      <c r="H106" s="61"/>
      <c r="I106" s="67"/>
      <c r="J106" s="61"/>
      <c r="K106" s="61"/>
      <c r="L106" s="61"/>
      <c r="M106" s="61"/>
      <c r="N106" s="61"/>
      <c r="O106" s="68"/>
      <c r="P106" s="62"/>
      <c r="Q106" s="158" t="str">
        <f>IFERROR(VLOOKUP(R106,OB!$B$1:$N$131,4,FALSE),"")</f>
        <v/>
      </c>
      <c r="R106" s="64"/>
      <c r="S106" s="264" t="str">
        <f>IFERROR(VLOOKUP(R106,OB!$B$1:$N$131,2,FALSE),"")</f>
        <v/>
      </c>
      <c r="T106" s="265"/>
      <c r="U106" s="65" t="str">
        <f>IFERROR(VLOOKUP(R106,OB!$B$1:$N$131,6,FALSE),"")</f>
        <v/>
      </c>
      <c r="V106" s="66">
        <f>SUM(U106:U112)</f>
        <v>0.75</v>
      </c>
      <c r="W106" s="302"/>
    </row>
    <row r="107" spans="1:24" s="58" customFormat="1" ht="13.5" customHeight="1">
      <c r="A107" s="301"/>
      <c r="B107" s="69" t="str">
        <f>IFERROR(VLOOKUP(C107,OB!$B$1:$N$131,4,FALSE),"")</f>
        <v/>
      </c>
      <c r="C107" s="70"/>
      <c r="D107" s="262" t="str">
        <f>IFERROR(VLOOKUP(C107,OB!$B$1:$N$131,2,FALSE),"")</f>
        <v/>
      </c>
      <c r="E107" s="263"/>
      <c r="F107" s="71" t="str">
        <f>IFERROR(VLOOKUP(C107,OB!$B$1:$N$131,6,FALSE),"")</f>
        <v/>
      </c>
      <c r="G107" s="266">
        <f>IFERROR(60/G106,"")</f>
        <v>230.76923076923077</v>
      </c>
      <c r="H107" s="72"/>
      <c r="I107" s="67"/>
      <c r="J107" s="61"/>
      <c r="K107" s="61"/>
      <c r="L107" s="61"/>
      <c r="M107" s="61"/>
      <c r="N107" s="61"/>
      <c r="O107" s="68"/>
      <c r="P107" s="62"/>
      <c r="Q107" s="69" t="str">
        <f>IFERROR(VLOOKUP(R107,OB!$B$1:$N$131,4,FALSE),"")</f>
        <v>SN</v>
      </c>
      <c r="R107" s="70">
        <v>24</v>
      </c>
      <c r="S107" s="262" t="str">
        <f>IFERROR(VLOOKUP(R107,OB!$B$1:$N$131,2,FALSE),"")</f>
        <v>FRONT EDGE STRY STTICH *1</v>
      </c>
      <c r="T107" s="263"/>
      <c r="U107" s="71">
        <f>IFERROR(VLOOKUP(R107,OB!$B$1:$N$131,6,FALSE),"")</f>
        <v>0.23</v>
      </c>
      <c r="V107" s="266">
        <f>IFERROR(60/V106,"")</f>
        <v>80</v>
      </c>
      <c r="W107" s="302"/>
    </row>
    <row r="108" spans="1:24" s="58" customFormat="1" ht="13.5" customHeight="1">
      <c r="A108" s="301"/>
      <c r="B108" s="69" t="str">
        <f>IFERROR(VLOOKUP(C108,OB!$B$1:$N$131,4,FALSE),"")</f>
        <v>SN</v>
      </c>
      <c r="C108" s="70">
        <v>16</v>
      </c>
      <c r="D108" s="262" t="str">
        <f>IFERROR(VLOOKUP(C108,OB!$B$1:$N$131,2,FALSE),"")</f>
        <v>FRONT WAIST IN SIDE TAPE TACK *2</v>
      </c>
      <c r="E108" s="263"/>
      <c r="F108" s="71">
        <f>IFERROR(VLOOKUP(C108,OB!$B$1:$N$131,6,FALSE),"")</f>
        <v>0.26</v>
      </c>
      <c r="G108" s="267"/>
      <c r="H108" s="72"/>
      <c r="I108" s="67"/>
      <c r="J108" s="61"/>
      <c r="K108" s="61"/>
      <c r="L108" s="61"/>
      <c r="M108" s="61"/>
      <c r="N108" s="61"/>
      <c r="O108" s="68"/>
      <c r="P108" s="62"/>
      <c r="Q108" s="69" t="str">
        <f>IFERROR(VLOOKUP(R108,OB!$B$1:$N$131,4,FALSE),"")</f>
        <v>SN</v>
      </c>
      <c r="R108" s="70">
        <v>25</v>
      </c>
      <c r="S108" s="262" t="str">
        <f>IFERROR(VLOOKUP(R108,OB!$B$1:$N$131,2,FALSE),"")</f>
        <v>ZIPPER ATTACH TO FLY FACING *1</v>
      </c>
      <c r="T108" s="263"/>
      <c r="U108" s="71">
        <f>IFERROR(VLOOKUP(R108,OB!$B$1:$N$131,6,FALSE),"")</f>
        <v>0.2</v>
      </c>
      <c r="V108" s="267"/>
      <c r="W108" s="302"/>
    </row>
    <row r="109" spans="1:24" s="58" customFormat="1" ht="13.5" customHeight="1">
      <c r="A109" s="301"/>
      <c r="B109" s="159" t="str">
        <f>IFERROR(VLOOKUP(C109,OB!$B$1:$N$131,4,FALSE),"")</f>
        <v/>
      </c>
      <c r="C109" s="70"/>
      <c r="D109" s="262" t="str">
        <f>IFERROR(VLOOKUP(C109,OB!$B$1:$N$131,2,FALSE),"")</f>
        <v/>
      </c>
      <c r="E109" s="263"/>
      <c r="F109" s="71" t="str">
        <f>IFERROR(VLOOKUP(C109,OB!$B$1:$N$131,6,FALSE),"")</f>
        <v/>
      </c>
      <c r="G109" s="73"/>
      <c r="H109" s="72"/>
      <c r="I109" s="67"/>
      <c r="J109" s="61"/>
      <c r="K109" s="61"/>
      <c r="L109" s="61"/>
      <c r="M109" s="61"/>
      <c r="N109" s="61"/>
      <c r="O109" s="68"/>
      <c r="P109" s="62"/>
      <c r="Q109" s="69" t="str">
        <f>IFERROR(VLOOKUP(R109,OB!$B$1:$N$131,4,FALSE),"")</f>
        <v>SN</v>
      </c>
      <c r="R109" s="70">
        <v>26</v>
      </c>
      <c r="S109" s="262" t="str">
        <f>IFERROR(VLOOKUP(R109,OB!$B$1:$N$131,2,FALSE),"")</f>
        <v>J STTICH WITH MARK *1</v>
      </c>
      <c r="T109" s="263"/>
      <c r="U109" s="71">
        <f>IFERROR(VLOOKUP(R109,OB!$B$1:$N$131,6,FALSE),"")</f>
        <v>0.32</v>
      </c>
      <c r="V109" s="73"/>
      <c r="W109" s="302"/>
    </row>
    <row r="110" spans="1:24" s="58" customFormat="1" ht="13.5" customHeight="1">
      <c r="A110" s="301"/>
      <c r="B110" s="69" t="str">
        <f>IFERROR(VLOOKUP(C110,OB!$B$1:$N$131,4,FALSE),"")</f>
        <v/>
      </c>
      <c r="C110" s="70"/>
      <c r="D110" s="262" t="str">
        <f>IFERROR(VLOOKUP(C110,OB!$B$1:$N$131,2,FALSE),"")</f>
        <v/>
      </c>
      <c r="E110" s="263"/>
      <c r="F110" s="71" t="str">
        <f>IFERROR(VLOOKUP(C110,OB!$B$1:$N$131,6,FALSE),"")</f>
        <v/>
      </c>
      <c r="G110" s="73"/>
      <c r="H110" s="72"/>
      <c r="I110" s="67"/>
      <c r="J110" s="61"/>
      <c r="K110" s="61"/>
      <c r="L110" s="61"/>
      <c r="M110" s="61"/>
      <c r="N110" s="61"/>
      <c r="O110" s="68"/>
      <c r="P110" s="62"/>
      <c r="Q110" s="69" t="str">
        <f>IFERROR(VLOOKUP(R110,OB!$B$1:$N$131,4,FALSE),"")</f>
        <v/>
      </c>
      <c r="R110" s="70">
        <v>69</v>
      </c>
      <c r="S110" s="262" t="str">
        <f>IFERROR(VLOOKUP(R110,OB!$B$1:$N$131,2,FALSE),"")</f>
        <v/>
      </c>
      <c r="T110" s="263"/>
      <c r="U110" s="71" t="str">
        <f>IFERROR(VLOOKUP(R110,OB!$B$1:$N$131,6,FALSE),"")</f>
        <v/>
      </c>
      <c r="V110" s="73"/>
      <c r="W110" s="302"/>
    </row>
    <row r="111" spans="1:24" s="58" customFormat="1" ht="13.5" customHeight="1">
      <c r="A111" s="301"/>
      <c r="B111" s="69" t="str">
        <f>IFERROR(VLOOKUP(C111,OB!$B$1:$N$131,4,FALSE),"")</f>
        <v/>
      </c>
      <c r="C111" s="70"/>
      <c r="D111" s="291" t="str">
        <f>IFERROR(VLOOKUP(C111,OB!$B$1:$N$131,2,FALSE),"")</f>
        <v/>
      </c>
      <c r="E111" s="292"/>
      <c r="F111" s="71" t="str">
        <f>IFERROR(VLOOKUP(C111,OB!$B$1:$N$131,6,FALSE),"")</f>
        <v/>
      </c>
      <c r="G111" s="295">
        <f>IFERROR(G106/$T$10,"")</f>
        <v>0.13711967545638945</v>
      </c>
      <c r="H111" s="74"/>
      <c r="I111" s="67"/>
      <c r="J111" s="61"/>
      <c r="K111" s="61"/>
      <c r="L111" s="61"/>
      <c r="M111" s="61"/>
      <c r="N111" s="61"/>
      <c r="O111" s="68"/>
      <c r="P111" s="62"/>
      <c r="Q111" s="69" t="str">
        <f>IFERROR(VLOOKUP(R111,OB!$B$1:$N$131,4,FALSE),"")</f>
        <v/>
      </c>
      <c r="R111" s="70"/>
      <c r="S111" s="291" t="str">
        <f>IFERROR(VLOOKUP(R111,OB!$B$1:$N$131,2,FALSE),"")</f>
        <v/>
      </c>
      <c r="T111" s="292"/>
      <c r="U111" s="71" t="str">
        <f>IFERROR(VLOOKUP(R111,OB!$B$1:$N$131,6,FALSE),"")</f>
        <v/>
      </c>
      <c r="V111" s="295">
        <f>IFERROR(V106/$T$10,"")</f>
        <v>0.39553752535496961</v>
      </c>
      <c r="W111" s="302"/>
    </row>
    <row r="112" spans="1:24" s="58" customFormat="1" ht="13.5" customHeight="1" thickBot="1">
      <c r="A112" s="301"/>
      <c r="B112" s="75" t="str">
        <f>IFERROR(VLOOKUP(C112,OB!$B$1:$N$131,4,FALSE),"")</f>
        <v/>
      </c>
      <c r="C112" s="76"/>
      <c r="D112" s="297" t="str">
        <f>IFERROR(VLOOKUP(C112,OB!$B$1:$N$131,2,FALSE),"")</f>
        <v/>
      </c>
      <c r="E112" s="298"/>
      <c r="F112" s="77" t="str">
        <f>IFERROR(VLOOKUP(C112,OB!$B$1:$N$131,6,FALSE),"")</f>
        <v/>
      </c>
      <c r="G112" s="296"/>
      <c r="H112" s="74"/>
      <c r="I112" s="67"/>
      <c r="J112" s="61"/>
      <c r="K112" s="61"/>
      <c r="L112" s="61"/>
      <c r="M112" s="61"/>
      <c r="N112" s="61"/>
      <c r="O112" s="68"/>
      <c r="P112" s="62"/>
      <c r="Q112" s="150" t="str">
        <f>IFERROR(VLOOKUP(R112,OB!$B$1:$N$131,4,FALSE),"")</f>
        <v/>
      </c>
      <c r="R112" s="76"/>
      <c r="S112" s="297" t="str">
        <f>IFERROR(VLOOKUP(R112,OB!$B$1:$N$131,2,FALSE),"")</f>
        <v/>
      </c>
      <c r="T112" s="298"/>
      <c r="U112" s="77" t="str">
        <f>IFERROR(VLOOKUP(R112,OB!$B$1:$N$131,6,FALSE),"")</f>
        <v/>
      </c>
      <c r="V112" s="296"/>
      <c r="W112" s="302"/>
    </row>
    <row r="113" spans="1:24" ht="13.5" customHeight="1" thickBot="1">
      <c r="A113" s="86"/>
      <c r="D113" s="148"/>
      <c r="E113" s="148"/>
      <c r="I113" s="67"/>
      <c r="J113" s="61"/>
      <c r="K113" s="61"/>
      <c r="L113" s="61"/>
      <c r="M113" s="61"/>
      <c r="N113" s="61"/>
      <c r="O113" s="68"/>
      <c r="Q113" s="148"/>
      <c r="S113" s="148"/>
      <c r="T113" s="148"/>
      <c r="W113" s="86"/>
      <c r="X113" s="58"/>
    </row>
    <row r="114" spans="1:24" s="58" customFormat="1" ht="13.5" customHeight="1">
      <c r="A114" s="301"/>
      <c r="B114" s="158" t="str">
        <f>IFERROR(VLOOKUP(C114,OB!$B$1:$N$131,4,FALSE),"")</f>
        <v/>
      </c>
      <c r="C114" s="64"/>
      <c r="D114" s="264" t="str">
        <f>IFERROR(VLOOKUP(C114,OB!$B$1:$N$131,2,FALSE),"")</f>
        <v/>
      </c>
      <c r="E114" s="265"/>
      <c r="F114" s="65" t="str">
        <f>IFERROR(VLOOKUP(C114,OB!$B$1:$N$131,6,FALSE),"")</f>
        <v/>
      </c>
      <c r="G114" s="66">
        <f>SUM(F114:F119)</f>
        <v>0.57999999999999996</v>
      </c>
      <c r="H114" s="61"/>
      <c r="I114" s="67"/>
      <c r="J114" s="61"/>
      <c r="K114" s="61"/>
      <c r="L114" s="61"/>
      <c r="M114" s="61"/>
      <c r="N114" s="61"/>
      <c r="O114" s="68"/>
      <c r="P114" s="62"/>
      <c r="Q114" s="158" t="str">
        <f>IFERROR(VLOOKUP(R114,OB!$B$1:$N$131,4,FALSE),"")</f>
        <v/>
      </c>
      <c r="R114" s="64"/>
      <c r="S114" s="264" t="str">
        <f>IFERROR(VLOOKUP(R114,OB!$B$1:$N$131,2,FALSE),"")</f>
        <v/>
      </c>
      <c r="T114" s="265"/>
      <c r="U114" s="65" t="str">
        <f>IFERROR(VLOOKUP(R114,OB!$B$1:$N$131,6,FALSE),"")</f>
        <v/>
      </c>
      <c r="V114" s="66">
        <f>SUM(U114:U119)</f>
        <v>0.66</v>
      </c>
      <c r="W114" s="302"/>
    </row>
    <row r="115" spans="1:24" s="58" customFormat="1" ht="13.5" customHeight="1">
      <c r="A115" s="301"/>
      <c r="B115" s="69" t="str">
        <f>IFERROR(VLOOKUP(C115,OB!$B$1:$N$131,4,FALSE),"")</f>
        <v>SN</v>
      </c>
      <c r="C115" s="70">
        <v>1</v>
      </c>
      <c r="D115" s="262" t="str">
        <f>IFERROR(VLOOKUP(C115,OB!$B$1:$N$131,2,FALSE),"")</f>
        <v>IN SIDE COIN PKT HEM *1</v>
      </c>
      <c r="E115" s="263"/>
      <c r="F115" s="71">
        <f>IFERROR(VLOOKUP(C115,OB!$B$1:$N$131,6,FALSE),"")</f>
        <v>0.2</v>
      </c>
      <c r="G115" s="266">
        <f>IFERROR(60/G114,"")</f>
        <v>103.44827586206897</v>
      </c>
      <c r="H115" s="72"/>
      <c r="I115" s="67"/>
      <c r="J115" s="61"/>
      <c r="K115" s="61"/>
      <c r="L115" s="61"/>
      <c r="M115" s="61"/>
      <c r="N115" s="61"/>
      <c r="O115" s="68"/>
      <c r="P115" s="62"/>
      <c r="Q115" s="69" t="str">
        <f>IFERROR(VLOOKUP(R115,OB!$B$1:$N$131,4,FALSE),"")</f>
        <v>SN</v>
      </c>
      <c r="R115" s="70">
        <v>55</v>
      </c>
      <c r="S115" s="262" t="str">
        <f>IFERROR(VLOOKUP(R115,OB!$B$1:$N$131,2,FALSE),"")</f>
        <v>WAIST BAND LOOP TACK *5</v>
      </c>
      <c r="T115" s="263"/>
      <c r="U115" s="71">
        <f>IFERROR(VLOOKUP(R115,OB!$B$1:$N$131,6,FALSE),"")</f>
        <v>0.5</v>
      </c>
      <c r="V115" s="266">
        <f>IFERROR(60/V114,"")</f>
        <v>90.909090909090907</v>
      </c>
      <c r="W115" s="302"/>
    </row>
    <row r="116" spans="1:24" s="58" customFormat="1" ht="13.5" customHeight="1">
      <c r="A116" s="301"/>
      <c r="B116" s="69" t="str">
        <f>IFERROR(VLOOKUP(C116,OB!$B$1:$N$131,4,FALSE),"")</f>
        <v>SN</v>
      </c>
      <c r="C116" s="70">
        <v>3</v>
      </c>
      <c r="D116" s="262" t="str">
        <f>IFERROR(VLOOKUP(C116,OB!$B$1:$N$131,2,FALSE),"")</f>
        <v>SIDE ZIPPER EDEG TACK *2</v>
      </c>
      <c r="E116" s="263"/>
      <c r="F116" s="71">
        <f>IFERROR(VLOOKUP(C116,OB!$B$1:$N$131,6,FALSE),"")</f>
        <v>0.16</v>
      </c>
      <c r="G116" s="267"/>
      <c r="H116" s="72"/>
      <c r="I116" s="67"/>
      <c r="J116" s="61"/>
      <c r="K116" s="61"/>
      <c r="L116" s="61"/>
      <c r="M116" s="61"/>
      <c r="N116" s="61"/>
      <c r="O116" s="68"/>
      <c r="P116" s="62"/>
      <c r="Q116" s="69" t="str">
        <f>IFERROR(VLOOKUP(R116,OB!$B$1:$N$131,4,FALSE),"")</f>
        <v>SN</v>
      </c>
      <c r="R116" s="70">
        <v>46</v>
      </c>
      <c r="S116" s="299" t="str">
        <f>IFERROR(VLOOKUP(R116,OB!$B$1:$N$131,2,FALSE),"")</f>
        <v>WAIST BAND CONER TST *2</v>
      </c>
      <c r="T116" s="300"/>
      <c r="U116" s="71">
        <f>IFERROR(VLOOKUP(R116,OB!$B$1:$N$131,6,FALSE),"")</f>
        <v>0.16</v>
      </c>
      <c r="V116" s="267"/>
      <c r="W116" s="302"/>
    </row>
    <row r="117" spans="1:24" s="58" customFormat="1" ht="13.5" customHeight="1">
      <c r="A117" s="301"/>
      <c r="B117" s="69" t="str">
        <f>IFERROR(VLOOKUP(C117,OB!$B$1:$N$131,4,FALSE),"")</f>
        <v>SN</v>
      </c>
      <c r="C117" s="70">
        <v>4</v>
      </c>
      <c r="D117" s="262" t="str">
        <f>IFERROR(VLOOKUP(C117,OB!$B$1:$N$131,2,FALSE),"")</f>
        <v>SIDE ZIPPER PKT BAG FACIN ATTACH *1</v>
      </c>
      <c r="E117" s="263"/>
      <c r="F117" s="71">
        <f>IFERROR(VLOOKUP(C117,OB!$B$1:$N$131,6,FALSE),"")</f>
        <v>0.22</v>
      </c>
      <c r="G117" s="73"/>
      <c r="H117" s="72"/>
      <c r="I117" s="67"/>
      <c r="J117" s="61"/>
      <c r="K117" s="61"/>
      <c r="L117" s="61"/>
      <c r="M117" s="61"/>
      <c r="N117" s="61"/>
      <c r="O117" s="68"/>
      <c r="P117" s="62"/>
      <c r="Q117" s="69" t="str">
        <f>IFERROR(VLOOKUP(R117,OB!$B$1:$N$131,4,FALSE),"")</f>
        <v/>
      </c>
      <c r="R117" s="70"/>
      <c r="S117" s="262" t="str">
        <f>IFERROR(VLOOKUP(R117,OB!$B$1:$N$131,2,FALSE),"")</f>
        <v/>
      </c>
      <c r="T117" s="263"/>
      <c r="U117" s="71" t="str">
        <f>IFERROR(VLOOKUP(R117,OB!$B$1:$N$131,6,FALSE),"")</f>
        <v/>
      </c>
      <c r="V117" s="73"/>
      <c r="W117" s="302"/>
    </row>
    <row r="118" spans="1:24" s="58" customFormat="1" ht="13.5" customHeight="1">
      <c r="A118" s="301"/>
      <c r="B118" s="69" t="str">
        <f>IFERROR(VLOOKUP(C118,OB!$B$1:$N$131,4,FALSE),"")</f>
        <v/>
      </c>
      <c r="C118" s="70">
        <v>66</v>
      </c>
      <c r="D118" s="291" t="str">
        <f>IFERROR(VLOOKUP(C118,OB!$B$1:$N$131,2,FALSE),"")</f>
        <v/>
      </c>
      <c r="E118" s="292"/>
      <c r="F118" s="71" t="str">
        <f>IFERROR(VLOOKUP(C118,OB!$B$1:$N$131,6,FALSE),"")</f>
        <v/>
      </c>
      <c r="G118" s="295">
        <f>IFERROR(G114/$T$10,"")</f>
        <v>0.30588235294117644</v>
      </c>
      <c r="H118" s="74"/>
      <c r="I118" s="67"/>
      <c r="J118" s="61"/>
      <c r="K118" s="61"/>
      <c r="L118" s="61"/>
      <c r="M118" s="61"/>
      <c r="N118" s="61"/>
      <c r="O118" s="68"/>
      <c r="P118" s="62"/>
      <c r="Q118" s="69" t="str">
        <f>IFERROR(VLOOKUP(R118,OB!$B$1:$N$131,4,FALSE),"")</f>
        <v/>
      </c>
      <c r="R118" s="70"/>
      <c r="S118" s="291" t="str">
        <f>IFERROR(VLOOKUP(R118,OB!$B$1:$N$131,2,FALSE),"")</f>
        <v/>
      </c>
      <c r="T118" s="292"/>
      <c r="U118" s="71" t="str">
        <f>IFERROR(VLOOKUP(R118,OB!$B$1:$N$131,6,FALSE),"")</f>
        <v/>
      </c>
      <c r="V118" s="295">
        <f>IFERROR(V114/$T$10,"")</f>
        <v>0.34807302231237325</v>
      </c>
      <c r="W118" s="302"/>
    </row>
    <row r="119" spans="1:24" s="58" customFormat="1" ht="13.5" customHeight="1" thickBot="1">
      <c r="A119" s="301"/>
      <c r="B119" s="69" t="str">
        <f>IFERROR(VLOOKUP(C119,OB!$B$1:$N$131,4,FALSE),"")</f>
        <v/>
      </c>
      <c r="C119" s="70">
        <v>67</v>
      </c>
      <c r="D119" s="297" t="str">
        <f>IFERROR(VLOOKUP(C119,OB!$B$1:$N$131,2,FALSE),"")</f>
        <v/>
      </c>
      <c r="E119" s="298"/>
      <c r="F119" s="77" t="str">
        <f>IFERROR(VLOOKUP(C119,OB!$B$1:$N$131,6,FALSE),"")</f>
        <v/>
      </c>
      <c r="G119" s="296"/>
      <c r="H119" s="74"/>
      <c r="I119" s="67"/>
      <c r="J119" s="61"/>
      <c r="K119" s="61"/>
      <c r="L119" s="61"/>
      <c r="M119" s="61"/>
      <c r="N119" s="61"/>
      <c r="O119" s="68"/>
      <c r="P119" s="62"/>
      <c r="Q119" s="150" t="str">
        <f>IFERROR(VLOOKUP(R119,OB!$B$1:$N$131,4,FALSE),"")</f>
        <v/>
      </c>
      <c r="R119" s="76"/>
      <c r="S119" s="297" t="str">
        <f>IFERROR(VLOOKUP(R119,OB!$B$1:$N$131,2,FALSE),"")</f>
        <v/>
      </c>
      <c r="T119" s="298"/>
      <c r="U119" s="77" t="str">
        <f>IFERROR(VLOOKUP(R119,OB!$B$1:$N$131,6,FALSE),"")</f>
        <v/>
      </c>
      <c r="V119" s="296"/>
      <c r="W119" s="302"/>
    </row>
    <row r="120" spans="1:24" ht="13.5" customHeight="1" thickBot="1">
      <c r="A120" s="86"/>
      <c r="B120" s="148"/>
      <c r="I120" s="67"/>
      <c r="J120" s="61"/>
      <c r="K120" s="61"/>
      <c r="L120" s="61"/>
      <c r="M120" s="61"/>
      <c r="N120" s="61"/>
      <c r="O120" s="68"/>
      <c r="Q120" s="148"/>
      <c r="S120" s="148"/>
      <c r="T120" s="148"/>
      <c r="W120" s="86"/>
      <c r="X120" s="58"/>
    </row>
    <row r="121" spans="1:24" s="58" customFormat="1" ht="13.5" customHeight="1">
      <c r="A121" s="301"/>
      <c r="B121" s="158" t="str">
        <f>IFERROR(VLOOKUP(C121,OB!$B$1:$N$131,4,FALSE),"")</f>
        <v/>
      </c>
      <c r="C121" s="64"/>
      <c r="D121" s="264" t="str">
        <f>IFERROR(VLOOKUP(C121,OB!$B$1:$N$131,2,FALSE),"")</f>
        <v/>
      </c>
      <c r="E121" s="265"/>
      <c r="F121" s="65" t="str">
        <f>IFERROR(VLOOKUP(C121,OB!$B$1:$N$131,6,FALSE),"")</f>
        <v/>
      </c>
      <c r="G121" s="66">
        <f>SUM(F121:F126)</f>
        <v>0.38</v>
      </c>
      <c r="H121" s="61"/>
      <c r="I121" s="67"/>
      <c r="J121" s="61"/>
      <c r="K121" s="61"/>
      <c r="L121" s="61"/>
      <c r="M121" s="61"/>
      <c r="N121" s="61"/>
      <c r="O121" s="68"/>
      <c r="P121" s="62"/>
      <c r="Q121" s="63" t="str">
        <f>IFERROR(VLOOKUP(R121,OB!$B$1:$N$131,4,FALSE),"")</f>
        <v>5OL</v>
      </c>
      <c r="R121" s="64">
        <v>52</v>
      </c>
      <c r="S121" s="264" t="str">
        <f>IFERROR(VLOOKUP(R121,OB!$B$1:$N$131,2,FALSE),"")</f>
        <v>SIDE SEAM JOIN *2</v>
      </c>
      <c r="T121" s="265"/>
      <c r="U121" s="65">
        <f>IFERROR(VLOOKUP(R121,OB!$B$1:$N$131,6,FALSE),"")</f>
        <v>0.88</v>
      </c>
      <c r="V121" s="66">
        <f>SUM(U121:U126)</f>
        <v>1.62</v>
      </c>
      <c r="W121" s="302"/>
    </row>
    <row r="122" spans="1:24" s="58" customFormat="1" ht="13.5" customHeight="1">
      <c r="A122" s="301"/>
      <c r="B122" s="69" t="str">
        <f>IFERROR(VLOOKUP(C122,OB!$B$1:$N$131,4,FALSE),"")</f>
        <v/>
      </c>
      <c r="C122" s="70"/>
      <c r="D122" s="262" t="str">
        <f>IFERROR(VLOOKUP(C122,OB!$B$1:$N$131,2,FALSE),"")</f>
        <v/>
      </c>
      <c r="E122" s="263"/>
      <c r="F122" s="71" t="str">
        <f>IFERROR(VLOOKUP(C122,OB!$B$1:$N$131,6,FALSE),"")</f>
        <v/>
      </c>
      <c r="G122" s="266">
        <f>IFERROR(60/G121,"")</f>
        <v>157.89473684210526</v>
      </c>
      <c r="H122" s="72"/>
      <c r="I122" s="67"/>
      <c r="J122" s="61"/>
      <c r="K122" s="61"/>
      <c r="L122" s="61"/>
      <c r="M122" s="61"/>
      <c r="N122" s="61"/>
      <c r="O122" s="68"/>
      <c r="P122" s="62"/>
      <c r="Q122" s="69" t="str">
        <f>IFERROR(VLOOKUP(R122,OB!$B$1:$N$131,4,FALSE),"")</f>
        <v>SN</v>
      </c>
      <c r="R122" s="70">
        <v>53</v>
      </c>
      <c r="S122" s="262" t="str">
        <f>IFERROR(VLOOKUP(R122,OB!$B$1:$N$131,2,FALSE),"")</f>
        <v>PO LABEL TACK WITH ATTACH TO WAIST *1</v>
      </c>
      <c r="T122" s="263"/>
      <c r="U122" s="71">
        <f>IFERROR(VLOOKUP(R122,OB!$B$1:$N$131,6,FALSE),"")</f>
        <v>0.36</v>
      </c>
      <c r="V122" s="266">
        <f>IFERROR(60/V121,"")</f>
        <v>37.037037037037038</v>
      </c>
      <c r="W122" s="302"/>
    </row>
    <row r="123" spans="1:24" s="58" customFormat="1" ht="13.5" customHeight="1">
      <c r="A123" s="301"/>
      <c r="B123" s="69" t="str">
        <f>IFERROR(VLOOKUP(C123,OB!$B$1:$N$131,4,FALSE),"")</f>
        <v>SN</v>
      </c>
      <c r="C123" s="70">
        <v>5</v>
      </c>
      <c r="D123" s="262" t="str">
        <f>IFERROR(VLOOKUP(C123,OB!$B$1:$N$131,2,FALSE),"")</f>
        <v>SIDE ZIPPER PKT FACINA ATTACH TO ZIPPER *1</v>
      </c>
      <c r="E123" s="263"/>
      <c r="F123" s="71">
        <f>IFERROR(VLOOKUP(C123,OB!$B$1:$N$131,6,FALSE),"")</f>
        <v>0.38</v>
      </c>
      <c r="G123" s="267"/>
      <c r="H123" s="72"/>
      <c r="I123" s="67"/>
      <c r="J123" s="61"/>
      <c r="K123" s="61"/>
      <c r="L123" s="61"/>
      <c r="M123" s="61"/>
      <c r="N123" s="61"/>
      <c r="O123" s="68"/>
      <c r="P123" s="62"/>
      <c r="Q123" s="69" t="str">
        <f>IFERROR(VLOOKUP(R123,OB!$B$1:$N$131,4,FALSE),"")</f>
        <v/>
      </c>
      <c r="R123" s="70"/>
      <c r="S123" s="262" t="str">
        <f>IFERROR(VLOOKUP(R123,OB!$B$1:$N$131,2,FALSE),"")</f>
        <v/>
      </c>
      <c r="T123" s="263"/>
      <c r="U123" s="71" t="str">
        <f>IFERROR(VLOOKUP(R123,OB!$B$1:$N$131,6,FALSE),"")</f>
        <v/>
      </c>
      <c r="V123" s="267"/>
      <c r="W123" s="302"/>
    </row>
    <row r="124" spans="1:24" s="58" customFormat="1" ht="13.5" customHeight="1">
      <c r="A124" s="301"/>
      <c r="B124" s="69" t="str">
        <f>IFERROR(VLOOKUP(C124,OB!$B$1:$N$131,4,FALSE),"")</f>
        <v/>
      </c>
      <c r="C124" s="70"/>
      <c r="D124" s="262" t="str">
        <f>IFERROR(VLOOKUP(C124,OB!$B$1:$N$131,2,FALSE),"")</f>
        <v/>
      </c>
      <c r="E124" s="263"/>
      <c r="F124" s="71" t="str">
        <f>IFERROR(VLOOKUP(C124,OB!$B$1:$N$131,6,FALSE),"")</f>
        <v/>
      </c>
      <c r="G124" s="73"/>
      <c r="H124" s="72"/>
      <c r="I124" s="67"/>
      <c r="J124" s="61"/>
      <c r="K124" s="61"/>
      <c r="L124" s="61"/>
      <c r="M124" s="61"/>
      <c r="N124" s="61"/>
      <c r="O124" s="68"/>
      <c r="P124" s="62"/>
      <c r="Q124" s="69" t="str">
        <f>IFERROR(VLOOKUP(R124,OB!$B$1:$N$131,4,FALSE),"")</f>
        <v/>
      </c>
      <c r="R124" s="70"/>
      <c r="S124" s="262" t="str">
        <f>IFERROR(VLOOKUP(R124,OB!$B$1:$N$131,2,FALSE),"")</f>
        <v/>
      </c>
      <c r="T124" s="263"/>
      <c r="U124" s="71" t="str">
        <f>IFERROR(VLOOKUP(R124,OB!$B$1:$N$131,6,FALSE),"")</f>
        <v/>
      </c>
      <c r="V124" s="73"/>
      <c r="W124" s="302"/>
    </row>
    <row r="125" spans="1:24" s="58" customFormat="1" ht="13.5" customHeight="1">
      <c r="A125" s="301"/>
      <c r="B125" s="69" t="str">
        <f>IFERROR(VLOOKUP(C125,OB!$B$1:$N$131,4,FALSE),"")</f>
        <v/>
      </c>
      <c r="C125" s="70"/>
      <c r="D125" s="291" t="str">
        <f>IFERROR(VLOOKUP(C125,OB!$B$1:$N$131,2,FALSE),"")</f>
        <v/>
      </c>
      <c r="E125" s="292"/>
      <c r="F125" s="71" t="str">
        <f>IFERROR(VLOOKUP(C125,OB!$B$1:$N$131,6,FALSE),"")</f>
        <v/>
      </c>
      <c r="G125" s="295">
        <f>IFERROR(G121/$T$10,"")</f>
        <v>0.20040567951318458</v>
      </c>
      <c r="H125" s="74"/>
      <c r="I125" s="67"/>
      <c r="J125" s="61"/>
      <c r="K125" s="61"/>
      <c r="L125" s="61"/>
      <c r="M125" s="61"/>
      <c r="N125" s="61"/>
      <c r="O125" s="68"/>
      <c r="P125" s="62"/>
      <c r="Q125" s="69" t="str">
        <f>IFERROR(VLOOKUP(R125,OB!$B$1:$N$131,4,FALSE),"")</f>
        <v/>
      </c>
      <c r="R125" s="70"/>
      <c r="S125" s="291" t="str">
        <f>IFERROR(VLOOKUP(R125,OB!$B$1:$N$131,2,FALSE),"")</f>
        <v/>
      </c>
      <c r="T125" s="292"/>
      <c r="U125" s="71" t="str">
        <f>IFERROR(VLOOKUP(R125,OB!$B$1:$N$131,6,FALSE),"")</f>
        <v/>
      </c>
      <c r="V125" s="295">
        <f>IFERROR(V121/$T$10,"")</f>
        <v>0.85436105476673441</v>
      </c>
      <c r="W125" s="302"/>
    </row>
    <row r="126" spans="1:24" s="58" customFormat="1" ht="13.5" customHeight="1" thickBot="1">
      <c r="A126" s="301"/>
      <c r="B126" s="150" t="str">
        <f>IFERROR(VLOOKUP(C126,OB!$B$1:$N$131,4,FALSE),"")</f>
        <v/>
      </c>
      <c r="C126" s="76"/>
      <c r="D126" s="297" t="str">
        <f>IFERROR(VLOOKUP(C126,OB!$B$1:$N$131,2,FALSE),"")</f>
        <v/>
      </c>
      <c r="E126" s="298"/>
      <c r="F126" s="77" t="str">
        <f>IFERROR(VLOOKUP(C126,OB!$B$1:$N$131,6,FALSE),"")</f>
        <v/>
      </c>
      <c r="G126" s="296"/>
      <c r="H126" s="74"/>
      <c r="I126" s="67"/>
      <c r="J126" s="61"/>
      <c r="K126" s="61"/>
      <c r="L126" s="61"/>
      <c r="M126" s="61"/>
      <c r="N126" s="61"/>
      <c r="O126" s="68"/>
      <c r="P126" s="62"/>
      <c r="Q126" s="161" t="str">
        <f>IFERROR(VLOOKUP(R126,OB!$B$1:$N$131,4,FALSE),"")</f>
        <v>SN</v>
      </c>
      <c r="R126" s="162">
        <v>58</v>
      </c>
      <c r="S126" s="297" t="str">
        <f>IFERROR(VLOOKUP(R126,OB!$B$1:$N$131,2,FALSE),"")</f>
        <v>2ND LOOP TACK *5</v>
      </c>
      <c r="T126" s="298"/>
      <c r="U126" s="77">
        <f>IFERROR(VLOOKUP(R126,OB!$B$1:$N$131,6,FALSE),"")</f>
        <v>0.38</v>
      </c>
      <c r="V126" s="296"/>
      <c r="W126" s="302"/>
    </row>
    <row r="127" spans="1:24" ht="13.5" customHeight="1" thickBot="1">
      <c r="A127" s="86"/>
      <c r="B127" s="148"/>
      <c r="I127" s="67"/>
      <c r="J127" s="61"/>
      <c r="K127" s="61"/>
      <c r="L127" s="61"/>
      <c r="M127" s="61"/>
      <c r="N127" s="61"/>
      <c r="O127" s="68"/>
      <c r="Q127" s="148" t="s">
        <v>110</v>
      </c>
      <c r="S127" s="148"/>
      <c r="T127" s="148"/>
      <c r="W127" s="86"/>
      <c r="X127" s="58"/>
    </row>
    <row r="128" spans="1:24" s="58" customFormat="1" ht="13.5" customHeight="1">
      <c r="A128" s="301"/>
      <c r="B128" s="158" t="str">
        <f>IFERROR(VLOOKUP(C128,OB!$B$1:$N$131,4,FALSE),"")</f>
        <v/>
      </c>
      <c r="C128" s="64"/>
      <c r="D128" s="264" t="str">
        <f>IFERROR(VLOOKUP(C128,OB!$B$1:$N$131,2,FALSE),"")</f>
        <v/>
      </c>
      <c r="E128" s="265"/>
      <c r="F128" s="65" t="str">
        <f>IFERROR(VLOOKUP(C128,OB!$B$1:$N$131,6,FALSE),"")</f>
        <v/>
      </c>
      <c r="G128" s="66">
        <f>SUM(F128:F133)</f>
        <v>0</v>
      </c>
      <c r="H128" s="61"/>
      <c r="I128" s="67"/>
      <c r="J128" s="61"/>
      <c r="K128" s="61"/>
      <c r="L128" s="61"/>
      <c r="M128" s="61"/>
      <c r="N128" s="61"/>
      <c r="O128" s="68"/>
      <c r="P128" s="62"/>
      <c r="Q128" s="69" t="str">
        <f>IFERROR(VLOOKUP(R128,OB!$B$1:$N$131,4,FALSE),"")</f>
        <v>SN</v>
      </c>
      <c r="R128" s="64">
        <v>2</v>
      </c>
      <c r="S128" s="264" t="str">
        <f>IFERROR(VLOOKUP(R128,OB!$B$1:$N$131,2,FALSE),"")</f>
        <v>IN SIDE COIN PKT ATTACH *1</v>
      </c>
      <c r="T128" s="265"/>
      <c r="U128" s="65">
        <f>IFERROR(VLOOKUP(R128,OB!$B$1:$N$131,6,FALSE),"")</f>
        <v>0.28000000000000003</v>
      </c>
      <c r="V128" s="66">
        <f>SUM(U128:U133)</f>
        <v>2.4409999999999998</v>
      </c>
      <c r="W128" s="302"/>
    </row>
    <row r="129" spans="1:24" s="58" customFormat="1" ht="13.5" customHeight="1">
      <c r="A129" s="301"/>
      <c r="B129" s="69" t="str">
        <f>IFERROR(VLOOKUP(C129,OB!$B$1:$N$131,4,FALSE),"")</f>
        <v/>
      </c>
      <c r="C129" s="70"/>
      <c r="D129" s="262" t="str">
        <f>IFERROR(VLOOKUP(C129,OB!$B$1:$N$131,2,FALSE),"")</f>
        <v/>
      </c>
      <c r="E129" s="263"/>
      <c r="F129" s="71" t="str">
        <f>IFERROR(VLOOKUP(C129,OB!$B$1:$N$131,6,FALSE),"")</f>
        <v/>
      </c>
      <c r="G129" s="266" t="str">
        <f>IFERROR(60/G128,"")</f>
        <v/>
      </c>
      <c r="H129" s="72"/>
      <c r="I129" s="67"/>
      <c r="J129" s="61"/>
      <c r="K129" s="61"/>
      <c r="L129" s="61"/>
      <c r="M129" s="61"/>
      <c r="N129" s="61"/>
      <c r="O129" s="68"/>
      <c r="P129" s="62"/>
      <c r="Q129" s="69" t="str">
        <f>IFERROR(VLOOKUP(R129,OB!$B$1:$N$131,4,FALSE),"")</f>
        <v>5OL</v>
      </c>
      <c r="R129" s="70">
        <v>8</v>
      </c>
      <c r="S129" s="262" t="str">
        <f>IFERROR(VLOOKUP(R129,OB!$B$1:$N$131,2,FALSE),"")</f>
        <v>FRONT PKT BAG TOP &amp; BTM JOIN *4</v>
      </c>
      <c r="T129" s="263"/>
      <c r="U129" s="71">
        <f>IFERROR(VLOOKUP(R129,OB!$B$1:$N$131,6,FALSE),"")</f>
        <v>0.57999999999999996</v>
      </c>
      <c r="V129" s="266">
        <f>IFERROR(60/V128,"")</f>
        <v>24.580090126997135</v>
      </c>
      <c r="W129" s="302"/>
    </row>
    <row r="130" spans="1:24" s="58" customFormat="1" ht="13.5" customHeight="1">
      <c r="A130" s="301"/>
      <c r="B130" s="69" t="str">
        <f>IFERROR(VLOOKUP(C130,OB!$B$1:$N$131,4,FALSE),"")</f>
        <v/>
      </c>
      <c r="C130" s="70">
        <v>79</v>
      </c>
      <c r="D130" s="262" t="str">
        <f>IFERROR(VLOOKUP(C130,OB!$B$1:$N$131,2,FALSE),"")</f>
        <v/>
      </c>
      <c r="E130" s="263"/>
      <c r="F130" s="71" t="str">
        <f>IFERROR(VLOOKUP(C130,OB!$B$1:$N$131,6,FALSE),"")</f>
        <v/>
      </c>
      <c r="G130" s="267"/>
      <c r="H130" s="72"/>
      <c r="I130" s="67"/>
      <c r="J130" s="61"/>
      <c r="K130" s="61"/>
      <c r="L130" s="61"/>
      <c r="M130" s="61"/>
      <c r="N130" s="61"/>
      <c r="O130" s="68"/>
      <c r="P130" s="62"/>
      <c r="Q130" s="69" t="str">
        <f>IFERROR(VLOOKUP(R130,OB!$B$1:$N$131,4,FALSE),"")</f>
        <v>3OL</v>
      </c>
      <c r="R130" s="70">
        <v>23</v>
      </c>
      <c r="S130" s="262" t="str">
        <f>IFERROR(VLOOKUP(R130,OB!$B$1:$N$131,2,FALSE),"")</f>
        <v>FRONT EDGE OL WITH FLY FACING *2</v>
      </c>
      <c r="T130" s="263"/>
      <c r="U130" s="71">
        <f>IFERROR(VLOOKUP(R130,OB!$B$1:$N$131,6,FALSE),"")</f>
        <v>0.28100000000000003</v>
      </c>
      <c r="V130" s="267"/>
      <c r="W130" s="302"/>
    </row>
    <row r="131" spans="1:24" s="58" customFormat="1" ht="13.5" customHeight="1">
      <c r="A131" s="301"/>
      <c r="B131" s="69" t="str">
        <f>IFERROR(VLOOKUP(C131,OB!$B$1:$N$131,4,FALSE),"")</f>
        <v/>
      </c>
      <c r="C131" s="70">
        <v>80</v>
      </c>
      <c r="D131" s="262" t="str">
        <f>IFERROR(VLOOKUP(C131,OB!$B$1:$N$131,2,FALSE),"")</f>
        <v/>
      </c>
      <c r="E131" s="263"/>
      <c r="F131" s="71" t="str">
        <f>IFERROR(VLOOKUP(C131,OB!$B$1:$N$131,6,FALSE),"")</f>
        <v/>
      </c>
      <c r="G131" s="73"/>
      <c r="H131" s="72"/>
      <c r="I131" s="67"/>
      <c r="J131" s="61"/>
      <c r="K131" s="61"/>
      <c r="L131" s="61"/>
      <c r="M131" s="61"/>
      <c r="N131" s="61"/>
      <c r="O131" s="68"/>
      <c r="P131" s="62"/>
      <c r="Q131" s="69" t="str">
        <f>IFERROR(VLOOKUP(R131,OB!$B$1:$N$131,4,FALSE),"")</f>
        <v>JIG</v>
      </c>
      <c r="R131" s="70">
        <v>31</v>
      </c>
      <c r="S131" s="262" t="str">
        <f>IFERROR(VLOOKUP(R131,OB!$B$1:$N$131,2,FALSE),"")</f>
        <v>BACK WELT PKT RUN STTICH WITH PKT BAG *2</v>
      </c>
      <c r="T131" s="263"/>
      <c r="U131" s="71">
        <f>IFERROR(VLOOKUP(R131,OB!$B$1:$N$131,6,FALSE),"")</f>
        <v>0.9</v>
      </c>
      <c r="V131" s="73"/>
      <c r="W131" s="302"/>
    </row>
    <row r="132" spans="1:24" s="58" customFormat="1" ht="13.5" customHeight="1">
      <c r="A132" s="301"/>
      <c r="B132" s="69" t="str">
        <f>IFERROR(VLOOKUP(C132,OB!$B$1:$N$131,4,FALSE),"")</f>
        <v/>
      </c>
      <c r="C132" s="70"/>
      <c r="D132" s="291" t="str">
        <f>IFERROR(VLOOKUP(C132,OB!$B$1:$N$131,2,FALSE),"")</f>
        <v/>
      </c>
      <c r="E132" s="292"/>
      <c r="F132" s="71" t="str">
        <f>IFERROR(VLOOKUP(C132,OB!$B$1:$N$131,6,FALSE),"")</f>
        <v/>
      </c>
      <c r="G132" s="295">
        <f>IFERROR(G128/$T$10,"")</f>
        <v>0</v>
      </c>
      <c r="H132" s="74"/>
      <c r="I132" s="67"/>
      <c r="J132" s="61"/>
      <c r="K132" s="61"/>
      <c r="L132" s="61"/>
      <c r="M132" s="61"/>
      <c r="N132" s="61"/>
      <c r="O132" s="68"/>
      <c r="P132" s="62"/>
      <c r="Q132" s="69" t="str">
        <f>IFERROR(VLOOKUP(R132,OB!$B$1:$N$131,4,FALSE),"")</f>
        <v>BTK</v>
      </c>
      <c r="R132" s="70">
        <v>29</v>
      </c>
      <c r="S132" s="291" t="str">
        <f>IFERROR(VLOOKUP(R132,OB!$B$1:$N$131,2,FALSE),"")</f>
        <v>J BTK *2</v>
      </c>
      <c r="T132" s="292"/>
      <c r="U132" s="71">
        <f>IFERROR(VLOOKUP(R132,OB!$B$1:$N$131,6,FALSE),"")</f>
        <v>0.12</v>
      </c>
      <c r="V132" s="295">
        <f>IFERROR(V128/$T$10,"")</f>
        <v>1.287342799188641</v>
      </c>
      <c r="W132" s="302"/>
    </row>
    <row r="133" spans="1:24" s="58" customFormat="1" ht="13.5" customHeight="1" thickBot="1">
      <c r="A133" s="301"/>
      <c r="B133" s="75" t="str">
        <f>IFERROR(VLOOKUP(C133,OB!$B$1:$N$131,4,FALSE),"")</f>
        <v/>
      </c>
      <c r="C133" s="76"/>
      <c r="D133" s="297" t="str">
        <f>IFERROR(VLOOKUP(C133,OB!$B$1:$N$131,2,FALSE),"")</f>
        <v/>
      </c>
      <c r="E133" s="298"/>
      <c r="F133" s="77" t="str">
        <f>IFERROR(VLOOKUP(C133,OB!$B$1:$N$131,6,FALSE),"")</f>
        <v/>
      </c>
      <c r="G133" s="296"/>
      <c r="H133" s="74"/>
      <c r="I133" s="67"/>
      <c r="J133" s="61"/>
      <c r="K133" s="61"/>
      <c r="L133" s="61"/>
      <c r="M133" s="61"/>
      <c r="N133" s="61"/>
      <c r="O133" s="68"/>
      <c r="P133" s="62"/>
      <c r="Q133" s="69" t="str">
        <f>IFERROR(VLOOKUP(R133,OB!$B$1:$N$131,4,FALSE),"")</f>
        <v>SN</v>
      </c>
      <c r="R133" s="70">
        <v>54</v>
      </c>
      <c r="S133" s="297" t="str">
        <f>IFERROR(VLOOKUP(R133,OB!$B$1:$N$131,2,FALSE),"")</f>
        <v>WAIST BAND LOOP MAKE WITH TRUN *1</v>
      </c>
      <c r="T133" s="298"/>
      <c r="U133" s="77">
        <f>IFERROR(VLOOKUP(R133,OB!$B$1:$N$131,6,FALSE),"")</f>
        <v>0.28000000000000003</v>
      </c>
      <c r="V133" s="296"/>
      <c r="W133" s="302"/>
    </row>
    <row r="134" spans="1:24" ht="13.5" customHeight="1" thickBot="1">
      <c r="A134" s="86"/>
      <c r="I134" s="67"/>
      <c r="J134" s="61"/>
      <c r="K134" s="61"/>
      <c r="L134" s="61"/>
      <c r="M134" s="61"/>
      <c r="N134" s="61"/>
      <c r="O134" s="68"/>
      <c r="Q134" s="148"/>
      <c r="S134" s="148"/>
      <c r="T134" s="148"/>
      <c r="W134" s="86"/>
      <c r="X134" s="58"/>
    </row>
    <row r="135" spans="1:24" s="58" customFormat="1" ht="13.5" customHeight="1">
      <c r="A135" s="301"/>
      <c r="B135" s="158" t="str">
        <f>IFERROR(VLOOKUP(C135,OB!$B$1:$N$131,4,FALSE),"")</f>
        <v/>
      </c>
      <c r="C135" s="64"/>
      <c r="D135" s="264" t="str">
        <f>IFERROR(VLOOKUP(C135,OB!$B$1:$N$131,2,FALSE),"")</f>
        <v/>
      </c>
      <c r="E135" s="265"/>
      <c r="F135" s="65" t="str">
        <f>IFERROR(VLOOKUP(C135,OB!$B$1:$N$131,6,FALSE),"")</f>
        <v/>
      </c>
      <c r="G135" s="160">
        <f>SUM(F135:F140)</f>
        <v>1.34</v>
      </c>
      <c r="H135" s="61"/>
      <c r="I135" s="67"/>
      <c r="J135" s="61"/>
      <c r="K135" s="61"/>
      <c r="L135" s="61"/>
      <c r="M135" s="61"/>
      <c r="N135" s="61"/>
      <c r="O135" s="68"/>
      <c r="P135" s="62"/>
      <c r="Q135" s="63" t="str">
        <f>IFERROR(VLOOKUP(R135,OB!$B$1:$N$131,4,FALSE),"")</f>
        <v>SN</v>
      </c>
      <c r="R135" s="64">
        <v>10</v>
      </c>
      <c r="S135" s="264" t="str">
        <f>IFERROR(VLOOKUP(R135,OB!$B$1:$N$131,2,FALSE),"")</f>
        <v>FRONT PKT BAG FACIN ATTACH *2</v>
      </c>
      <c r="T135" s="265"/>
      <c r="U135" s="65">
        <f>IFERROR(VLOOKUP(R135,OB!$B$1:$N$131,6,FALSE),"")</f>
        <v>0.44</v>
      </c>
      <c r="V135" s="66">
        <f>SUM(U135:U140)</f>
        <v>3.2399999999999998</v>
      </c>
      <c r="W135" s="302"/>
    </row>
    <row r="136" spans="1:24" s="58" customFormat="1" ht="13.5" customHeight="1">
      <c r="A136" s="301"/>
      <c r="B136" s="69" t="str">
        <f>IFERROR(VLOOKUP(C136,OB!$B$1:$N$131,4,FALSE),"")</f>
        <v>SN</v>
      </c>
      <c r="C136" s="70">
        <v>15</v>
      </c>
      <c r="D136" s="262" t="str">
        <f>IFERROR(VLOOKUP(C136,OB!$B$1:$N$131,2,FALSE),"")</f>
        <v>FRONT PKT BAG TACK TO SS &amp; WB *2</v>
      </c>
      <c r="E136" s="263"/>
      <c r="F136" s="71">
        <f>IFERROR(VLOOKUP(C136,OB!$B$1:$N$131,6,FALSE),"")</f>
        <v>0.54</v>
      </c>
      <c r="G136" s="266">
        <f>IFERROR(60/G135,"")</f>
        <v>44.776119402985074</v>
      </c>
      <c r="H136" s="72"/>
      <c r="I136" s="78"/>
      <c r="J136" s="72"/>
      <c r="K136" s="72"/>
      <c r="L136" s="72"/>
      <c r="M136" s="72"/>
      <c r="N136" s="72"/>
      <c r="O136" s="68"/>
      <c r="P136" s="62"/>
      <c r="Q136" s="69" t="str">
        <f>IFERROR(VLOOKUP(R136,OB!$B$1:$N$131,4,FALSE),"")</f>
        <v>SN</v>
      </c>
      <c r="R136" s="70">
        <v>11</v>
      </c>
      <c r="S136" s="262" t="str">
        <f>IFERROR(VLOOKUP(R136,OB!$B$1:$N$131,2,FALSE),"")</f>
        <v>FRONT PKT BAG ATTACH TO PKT MOUTH *2</v>
      </c>
      <c r="T136" s="263"/>
      <c r="U136" s="71">
        <f>IFERROR(VLOOKUP(R136,OB!$B$1:$N$131,6,FALSE),"")</f>
        <v>0.52</v>
      </c>
      <c r="V136" s="266">
        <f>IFERROR(60/V135,"")</f>
        <v>18.518518518518519</v>
      </c>
      <c r="W136" s="302"/>
    </row>
    <row r="137" spans="1:24" s="58" customFormat="1" ht="13.5" customHeight="1">
      <c r="A137" s="301"/>
      <c r="B137" s="69" t="str">
        <f>IFERROR(VLOOKUP(C137,OB!$B$1:$N$131,4,FALSE),"")</f>
        <v>SN</v>
      </c>
      <c r="C137" s="70">
        <v>45</v>
      </c>
      <c r="D137" s="262" t="str">
        <f>IFERROR(VLOOKUP(C137,OB!$B$1:$N$131,2,FALSE),"")</f>
        <v>WAIST BAND CONER MAKE *2</v>
      </c>
      <c r="E137" s="263"/>
      <c r="F137" s="71">
        <f>IFERROR(VLOOKUP(C137,OB!$B$1:$N$131,6,FALSE),"")</f>
        <v>0.48</v>
      </c>
      <c r="G137" s="267"/>
      <c r="H137" s="72"/>
      <c r="I137" s="78"/>
      <c r="J137" s="72"/>
      <c r="K137" s="72"/>
      <c r="L137" s="72"/>
      <c r="M137" s="72"/>
      <c r="N137" s="72"/>
      <c r="O137" s="68"/>
      <c r="P137" s="62"/>
      <c r="Q137" s="69" t="str">
        <f>IFERROR(VLOOKUP(R137,OB!$B$1:$N$131,4,FALSE),"")</f>
        <v>SN</v>
      </c>
      <c r="R137" s="70">
        <v>33</v>
      </c>
      <c r="S137" s="262" t="str">
        <f>IFERROR(VLOOKUP(R137,OB!$B$1:$N$131,2,FALSE),"")</f>
        <v>BACK WELT PKT BAG FACIN CLOSE *2</v>
      </c>
      <c r="T137" s="263"/>
      <c r="U137" s="71">
        <f>IFERROR(VLOOKUP(R137,OB!$B$1:$N$131,6,FALSE),"")</f>
        <v>0.4</v>
      </c>
      <c r="V137" s="267"/>
      <c r="W137" s="302"/>
    </row>
    <row r="138" spans="1:24" s="58" customFormat="1" ht="13.5" customHeight="1">
      <c r="A138" s="301"/>
      <c r="B138" s="69" t="str">
        <f>IFERROR(VLOOKUP(C138,OB!$B$1:$N$131,4,FALSE),"")</f>
        <v/>
      </c>
      <c r="C138" s="70">
        <v>68</v>
      </c>
      <c r="D138" s="262" t="str">
        <f>IFERROR(VLOOKUP(C138,OB!$B$1:$N$131,2,FALSE),"")</f>
        <v/>
      </c>
      <c r="E138" s="263"/>
      <c r="F138" s="71" t="str">
        <f>IFERROR(VLOOKUP(C138,OB!$B$1:$N$131,6,FALSE),"")</f>
        <v/>
      </c>
      <c r="G138" s="73"/>
      <c r="H138" s="72"/>
      <c r="I138" s="67"/>
      <c r="J138" s="61"/>
      <c r="K138" s="61"/>
      <c r="L138" s="61"/>
      <c r="M138" s="61"/>
      <c r="N138" s="61"/>
      <c r="O138" s="68"/>
      <c r="P138" s="62"/>
      <c r="Q138" s="69" t="str">
        <f>IFERROR(VLOOKUP(R138,OB!$B$1:$N$131,4,FALSE),"")</f>
        <v>SN</v>
      </c>
      <c r="R138" s="70">
        <v>34</v>
      </c>
      <c r="S138" s="262" t="str">
        <f>IFERROR(VLOOKUP(R138,OB!$B$1:$N$131,2,FALSE),"")</f>
        <v>BACK WELT PKT TOP EDGE ATTACH *2</v>
      </c>
      <c r="T138" s="263"/>
      <c r="U138" s="71">
        <f>IFERROR(VLOOKUP(R138,OB!$B$1:$N$131,6,FALSE),"")</f>
        <v>0.48</v>
      </c>
      <c r="V138" s="73"/>
      <c r="W138" s="302"/>
    </row>
    <row r="139" spans="1:24" s="58" customFormat="1" ht="13.5" customHeight="1">
      <c r="A139" s="301"/>
      <c r="B139" s="69" t="str">
        <f>IFERROR(VLOOKUP(C139,OB!$B$1:$N$131,4,FALSE),"")</f>
        <v>3OL</v>
      </c>
      <c r="C139" s="70">
        <v>41</v>
      </c>
      <c r="D139" s="291" t="str">
        <f>IFERROR(VLOOKUP(C139,OB!$B$1:$N$131,2,FALSE),"")</f>
        <v>BACK RISE JOIN *1</v>
      </c>
      <c r="E139" s="292"/>
      <c r="F139" s="71">
        <f>IFERROR(VLOOKUP(C139,OB!$B$1:$N$131,6,FALSE),"")</f>
        <v>0.32</v>
      </c>
      <c r="G139" s="295">
        <f>IFERROR(G135/$T$10,"")</f>
        <v>0.70669371196754571</v>
      </c>
      <c r="H139" s="74"/>
      <c r="I139" s="79"/>
      <c r="J139" s="74"/>
      <c r="K139" s="74"/>
      <c r="L139" s="74"/>
      <c r="M139" s="74"/>
      <c r="N139" s="74"/>
      <c r="O139" s="68"/>
      <c r="P139" s="62"/>
      <c r="Q139" s="69" t="str">
        <f>IFERROR(VLOOKUP(R139,OB!$B$1:$N$131,4,FALSE),"")</f>
        <v>3OL</v>
      </c>
      <c r="R139" s="70">
        <v>35</v>
      </c>
      <c r="S139" s="291" t="str">
        <f>IFERROR(VLOOKUP(R139,OB!$B$1:$N$131,2,FALSE),"")</f>
        <v>BACK WELT PKT BAG CLOSE WITH TRUN *2</v>
      </c>
      <c r="T139" s="292"/>
      <c r="U139" s="71">
        <f>IFERROR(VLOOKUP(R139,OB!$B$1:$N$131,6,FALSE),"")</f>
        <v>0.72</v>
      </c>
      <c r="V139" s="295">
        <f>IFERROR(V135/$T$10,"")</f>
        <v>1.7087221095334686</v>
      </c>
      <c r="W139" s="302"/>
    </row>
    <row r="140" spans="1:24" s="58" customFormat="1" ht="13.5" customHeight="1" thickBot="1">
      <c r="A140" s="301"/>
      <c r="B140" s="75" t="str">
        <f>IFERROR(VLOOKUP(C140,OB!$B$1:$N$131,4,FALSE),"")</f>
        <v/>
      </c>
      <c r="C140" s="76"/>
      <c r="D140" s="297" t="str">
        <f>IFERROR(VLOOKUP(C140,OB!$B$1:$N$131,2,FALSE),"")</f>
        <v/>
      </c>
      <c r="E140" s="298"/>
      <c r="F140" s="77" t="str">
        <f>IFERROR(VLOOKUP(C140,OB!$B$1:$N$131,6,FALSE),"")</f>
        <v/>
      </c>
      <c r="G140" s="296"/>
      <c r="H140" s="74"/>
      <c r="I140" s="79"/>
      <c r="J140" s="74"/>
      <c r="K140" s="74"/>
      <c r="L140" s="74"/>
      <c r="M140" s="74"/>
      <c r="N140" s="74"/>
      <c r="O140" s="68"/>
      <c r="P140" s="62"/>
      <c r="Q140" s="69" t="str">
        <f>IFERROR(VLOOKUP(R140,OB!$B$1:$N$131,4,FALSE),"")</f>
        <v>SN</v>
      </c>
      <c r="R140" s="70">
        <v>36</v>
      </c>
      <c r="S140" s="291" t="str">
        <f>IFERROR(VLOOKUP(R140,OB!$B$1:$N$131,2,FALSE),"")</f>
        <v>BACK WELT PKT BAG TST *2</v>
      </c>
      <c r="T140" s="292"/>
      <c r="U140" s="77">
        <f>IFERROR(VLOOKUP(R140,OB!$B$1:$N$131,6,FALSE),"")</f>
        <v>0.68</v>
      </c>
      <c r="V140" s="296"/>
      <c r="W140" s="302"/>
    </row>
    <row r="141" spans="1:24" ht="13.5" customHeight="1" thickBot="1">
      <c r="A141" s="86"/>
      <c r="I141" s="80"/>
      <c r="O141" s="81"/>
      <c r="Q141" s="148" t="s">
        <v>116</v>
      </c>
      <c r="W141" s="86"/>
      <c r="X141" s="58"/>
    </row>
    <row r="142" spans="1:24" s="58" customFormat="1" ht="13.5" customHeight="1">
      <c r="A142" s="301"/>
      <c r="B142" s="63" t="s">
        <v>85</v>
      </c>
      <c r="C142" s="64"/>
      <c r="D142" s="264" t="str">
        <f>IFERROR(VLOOKUP(C142,OB!$B$1:$N$131,2,FALSE),"")</f>
        <v/>
      </c>
      <c r="E142" s="265"/>
      <c r="F142" s="65" t="str">
        <f>IFERROR(VLOOKUP(C142,OB!$B$1:$N$131,6,FALSE),"")</f>
        <v/>
      </c>
      <c r="G142" s="66">
        <f>SUM(F142:F147)</f>
        <v>0.58000000000000007</v>
      </c>
      <c r="H142" s="61"/>
      <c r="I142" s="67"/>
      <c r="J142" s="61"/>
      <c r="K142" s="61"/>
      <c r="L142" s="61"/>
      <c r="M142" s="61"/>
      <c r="N142" s="61"/>
      <c r="O142" s="68"/>
      <c r="P142" s="62"/>
      <c r="Q142" s="63" t="str">
        <f>IFERROR(VLOOKUP(R142,OB!$B$1:$N$131,4,FALSE),"")</f>
        <v/>
      </c>
      <c r="R142" s="64"/>
      <c r="S142" s="264" t="str">
        <f>IFERROR(VLOOKUP(R142,OB!$B$1:$N$131,2,FALSE),"")</f>
        <v/>
      </c>
      <c r="T142" s="265"/>
      <c r="U142" s="65" t="str">
        <f>IFERROR(VLOOKUP(R142,OB!$B$1:$N$131,6,FALSE),"")</f>
        <v/>
      </c>
      <c r="V142" s="66">
        <f>SUM(U142:U147)</f>
        <v>0.58000000000000007</v>
      </c>
      <c r="W142" s="302"/>
    </row>
    <row r="143" spans="1:24" s="58" customFormat="1" ht="13.5" customHeight="1">
      <c r="A143" s="301"/>
      <c r="B143" s="69" t="str">
        <f>IFERROR(VLOOKUP(C143,OB!$B$1:$N$131,4,FALSE),"")</f>
        <v/>
      </c>
      <c r="C143" s="70"/>
      <c r="D143" s="262" t="str">
        <f>IFERROR(VLOOKUP(C143,OB!$B$1:$N$131,2,FALSE),"")</f>
        <v/>
      </c>
      <c r="E143" s="263"/>
      <c r="F143" s="71" t="str">
        <f>IFERROR(VLOOKUP(C143,OB!$B$1:$N$131,6,FALSE),"")</f>
        <v/>
      </c>
      <c r="G143" s="266">
        <f>IFERROR(60/G142,"")</f>
        <v>103.44827586206895</v>
      </c>
      <c r="H143" s="72"/>
      <c r="I143" s="78"/>
      <c r="J143" s="72"/>
      <c r="K143" s="72"/>
      <c r="L143" s="72"/>
      <c r="M143" s="72"/>
      <c r="N143" s="72"/>
      <c r="O143" s="68"/>
      <c r="P143" s="62"/>
      <c r="Q143" s="69" t="str">
        <f>IFERROR(VLOOKUP(R143,OB!$B$1:$N$131,4,FALSE),"")</f>
        <v/>
      </c>
      <c r="R143" s="70"/>
      <c r="S143" s="262" t="str">
        <f>IFERROR(VLOOKUP(R143,OB!$B$1:$N$131,2,FALSE),"")</f>
        <v/>
      </c>
      <c r="T143" s="263"/>
      <c r="U143" s="71" t="str">
        <f>IFERROR(VLOOKUP(R143,OB!$B$1:$N$131,6,FALSE),"")</f>
        <v/>
      </c>
      <c r="V143" s="266">
        <f>IFERROR(60/V142,"")</f>
        <v>103.44827586206895</v>
      </c>
      <c r="W143" s="302"/>
    </row>
    <row r="144" spans="1:24" s="58" customFormat="1" ht="13.5" customHeight="1">
      <c r="A144" s="301"/>
      <c r="B144" s="69" t="str">
        <f>IFERROR(VLOOKUP(C144,OB!$B$1:$N$131,4,FALSE),"")</f>
        <v>SN</v>
      </c>
      <c r="C144" s="70">
        <v>28</v>
      </c>
      <c r="D144" s="262" t="str">
        <f>IFERROR(VLOOKUP(C144,OB!$B$1:$N$131,2,FALSE),"")</f>
        <v>CROTCH ATTACH *1</v>
      </c>
      <c r="E144" s="263"/>
      <c r="F144" s="71">
        <f>IFERROR(VLOOKUP(C144,OB!$B$1:$N$131,6,FALSE),"")</f>
        <v>0.28000000000000003</v>
      </c>
      <c r="G144" s="267"/>
      <c r="H144" s="72"/>
      <c r="I144" s="78"/>
      <c r="J144" s="72"/>
      <c r="K144" s="72"/>
      <c r="L144" s="72"/>
      <c r="M144" s="72"/>
      <c r="N144" s="72"/>
      <c r="O144" s="68"/>
      <c r="P144" s="62"/>
      <c r="Q144" s="69" t="str">
        <f>IFERROR(VLOOKUP(R144,OB!$B$1:$N$131,4,FALSE),"")</f>
        <v>SN</v>
      </c>
      <c r="R144" s="70">
        <v>42</v>
      </c>
      <c r="S144" s="262" t="str">
        <f>IFERROR(VLOOKUP(R144,OB!$B$1:$N$131,2,FALSE),"")</f>
        <v>BACK RISE CLOSE *1</v>
      </c>
      <c r="T144" s="263"/>
      <c r="U144" s="71">
        <f>IFERROR(VLOOKUP(R144,OB!$B$1:$N$131,6,FALSE),"")</f>
        <v>0.38</v>
      </c>
      <c r="V144" s="267"/>
      <c r="W144" s="302"/>
    </row>
    <row r="145" spans="1:24" s="58" customFormat="1" ht="13.5" customHeight="1">
      <c r="A145" s="301"/>
      <c r="B145" s="69" t="str">
        <f>IFERROR(VLOOKUP(C145,OB!$B$1:$N$131,4,FALSE),"")</f>
        <v>SN</v>
      </c>
      <c r="C145" s="70">
        <v>22</v>
      </c>
      <c r="D145" s="262" t="str">
        <f>IFERROR(VLOOKUP(C145,OB!$B$1:$N$131,2,FALSE),"")</f>
        <v>FLY BOX LABEL ATTACH *1</v>
      </c>
      <c r="E145" s="263"/>
      <c r="F145" s="71">
        <f>IFERROR(VLOOKUP(C145,OB!$B$1:$N$131,6,FALSE),"")</f>
        <v>0.3</v>
      </c>
      <c r="G145" s="73"/>
      <c r="H145" s="72"/>
      <c r="I145" s="67"/>
      <c r="J145" s="61"/>
      <c r="K145" s="61"/>
      <c r="L145" s="61"/>
      <c r="M145" s="61"/>
      <c r="N145" s="61"/>
      <c r="O145" s="68"/>
      <c r="P145" s="62"/>
      <c r="Q145" s="69" t="str">
        <f>IFERROR(VLOOKUP(R145,OB!$B$1:$N$131,4,FALSE),"")</f>
        <v>3OL</v>
      </c>
      <c r="R145" s="70">
        <v>43</v>
      </c>
      <c r="S145" s="262" t="str">
        <f>IFERROR(VLOOKUP(R145,OB!$B$1:$N$131,2,FALSE),"")</f>
        <v>BACK SIDE EDGE OL *1</v>
      </c>
      <c r="T145" s="263"/>
      <c r="U145" s="71">
        <f>IFERROR(VLOOKUP(R145,OB!$B$1:$N$131,6,FALSE),"")</f>
        <v>0.2</v>
      </c>
      <c r="V145" s="73"/>
      <c r="W145" s="302"/>
    </row>
    <row r="146" spans="1:24" s="58" customFormat="1" ht="13.5" customHeight="1">
      <c r="A146" s="301"/>
      <c r="B146" s="69" t="str">
        <f>IFERROR(VLOOKUP(C146,OB!$B$1:$N$131,4,FALSE),"")</f>
        <v/>
      </c>
      <c r="C146" s="70"/>
      <c r="D146" s="291" t="str">
        <f>IFERROR(VLOOKUP(C146,OB!$B$1:$N$131,2,FALSE),"")</f>
        <v/>
      </c>
      <c r="E146" s="292"/>
      <c r="F146" s="71" t="str">
        <f>IFERROR(VLOOKUP(C146,OB!$B$1:$N$131,6,FALSE),"")</f>
        <v/>
      </c>
      <c r="G146" s="295">
        <f>IFERROR(G142/$T$10,"")</f>
        <v>0.30588235294117649</v>
      </c>
      <c r="H146" s="74"/>
      <c r="I146" s="79"/>
      <c r="J146" s="74"/>
      <c r="K146" s="74"/>
      <c r="L146" s="74"/>
      <c r="M146" s="74"/>
      <c r="N146" s="74"/>
      <c r="O146" s="68"/>
      <c r="P146" s="62"/>
      <c r="Q146" s="69" t="str">
        <f>IFERROR(VLOOKUP(R146,OB!$B$1:$N$131,4,FALSE),"")</f>
        <v/>
      </c>
      <c r="R146" s="70"/>
      <c r="S146" s="291" t="str">
        <f>IFERROR(VLOOKUP(R146,OB!$B$1:$N$131,2,FALSE),"")</f>
        <v/>
      </c>
      <c r="T146" s="292"/>
      <c r="U146" s="71" t="str">
        <f>IFERROR(VLOOKUP(R146,OB!$B$1:$N$131,6,FALSE),"")</f>
        <v/>
      </c>
      <c r="V146" s="295">
        <f>IFERROR(V142/$T$10,"")</f>
        <v>0.30588235294117649</v>
      </c>
      <c r="W146" s="302"/>
    </row>
    <row r="147" spans="1:24" s="58" customFormat="1" ht="13.5" customHeight="1" thickBot="1">
      <c r="A147" s="301"/>
      <c r="B147" s="75" t="str">
        <f>IFERROR(VLOOKUP(C147,OB!$B$1:$N$131,4,FALSE),"")</f>
        <v/>
      </c>
      <c r="C147" s="76"/>
      <c r="D147" s="297" t="str">
        <f>IFERROR(VLOOKUP(C147,OB!$B$1:$N$131,2,FALSE),"")</f>
        <v/>
      </c>
      <c r="E147" s="298"/>
      <c r="F147" s="77" t="str">
        <f>IFERROR(VLOOKUP(C147,OB!$B$1:$N$131,6,FALSE),"")</f>
        <v/>
      </c>
      <c r="G147" s="296"/>
      <c r="H147" s="74"/>
      <c r="I147" s="79"/>
      <c r="J147" s="74"/>
      <c r="K147" s="74"/>
      <c r="L147" s="74"/>
      <c r="M147" s="74"/>
      <c r="N147" s="74"/>
      <c r="O147" s="68"/>
      <c r="P147" s="62"/>
      <c r="Q147" s="75" t="str">
        <f>IFERROR(VLOOKUP(R147,OB!$B$1:$N$131,4,FALSE),"")</f>
        <v/>
      </c>
      <c r="R147" s="76"/>
      <c r="S147" s="297" t="str">
        <f>IFERROR(VLOOKUP(R147,OB!$B$1:$N$131,2,FALSE),"")</f>
        <v/>
      </c>
      <c r="T147" s="298"/>
      <c r="U147" s="77" t="str">
        <f>IFERROR(VLOOKUP(R147,OB!$B$1:$N$131,6,FALSE),"")</f>
        <v/>
      </c>
      <c r="V147" s="296"/>
      <c r="W147" s="302"/>
    </row>
    <row r="148" spans="1:24" ht="13.5" customHeight="1" thickBot="1">
      <c r="A148" s="86"/>
      <c r="I148" s="80"/>
      <c r="O148" s="81"/>
      <c r="Q148" s="53" t="s">
        <v>117</v>
      </c>
      <c r="W148" s="86"/>
      <c r="X148" s="58"/>
    </row>
    <row r="149" spans="1:24" s="58" customFormat="1" ht="13.5" customHeight="1">
      <c r="A149" s="301"/>
      <c r="B149" s="63" t="s">
        <v>85</v>
      </c>
      <c r="C149" s="64">
        <v>9</v>
      </c>
      <c r="D149" s="264" t="str">
        <f>IFERROR(VLOOKUP(C149,OB!$B$1:$N$131,2,FALSE),"")</f>
        <v>FRONT PKT MOUTH FACIN ATTACH *2</v>
      </c>
      <c r="E149" s="265"/>
      <c r="F149" s="65">
        <f>IFERROR(VLOOKUP(C149,OB!$B$1:$N$131,6,FALSE),"")</f>
        <v>0.4</v>
      </c>
      <c r="G149" s="66">
        <f>SUM(F149:F154)</f>
        <v>2.54</v>
      </c>
      <c r="H149" s="61"/>
      <c r="I149" s="67"/>
      <c r="J149" s="61"/>
      <c r="K149" s="61"/>
      <c r="L149" s="61"/>
      <c r="M149" s="61"/>
      <c r="N149" s="61"/>
      <c r="O149" s="68"/>
      <c r="P149" s="62"/>
      <c r="Q149" s="63" t="str">
        <f>IFERROR(VLOOKUP(R149,OB!$B$1:$N$131,4,FALSE),"")</f>
        <v/>
      </c>
      <c r="R149" s="64"/>
      <c r="S149" s="264" t="str">
        <f>IFERROR(VLOOKUP(R149,OB!$B$1:$N$131,2,FALSE),"")</f>
        <v/>
      </c>
      <c r="T149" s="265"/>
      <c r="U149" s="65" t="str">
        <f>IFERROR(VLOOKUP(R149,OB!$B$1:$N$131,6,FALSE),"")</f>
        <v/>
      </c>
      <c r="V149" s="66">
        <f>SUM(U149:U154)</f>
        <v>1.26</v>
      </c>
      <c r="W149" s="302"/>
    </row>
    <row r="150" spans="1:24" s="58" customFormat="1" ht="13.5" customHeight="1">
      <c r="A150" s="301"/>
      <c r="B150" s="69" t="str">
        <f>IFERROR(VLOOKUP(C150,OB!$B$1:$N$131,4,FALSE),"")</f>
        <v>SN</v>
      </c>
      <c r="C150" s="70">
        <v>14</v>
      </c>
      <c r="D150" s="262" t="str">
        <f>IFERROR(VLOOKUP(C150,OB!$B$1:$N$131,2,FALSE),"")</f>
        <v>FRONT PKT BAG TST *2</v>
      </c>
      <c r="E150" s="263"/>
      <c r="F150" s="71">
        <f>IFERROR(VLOOKUP(C150,OB!$B$1:$N$131,6,FALSE),"")</f>
        <v>0.82</v>
      </c>
      <c r="G150" s="266">
        <f>IFERROR(60/G149,"")</f>
        <v>23.622047244094489</v>
      </c>
      <c r="H150" s="72"/>
      <c r="I150" s="78"/>
      <c r="J150" s="72"/>
      <c r="K150" s="72"/>
      <c r="L150" s="72"/>
      <c r="M150" s="72"/>
      <c r="N150" s="72"/>
      <c r="O150" s="68"/>
      <c r="P150" s="62"/>
      <c r="Q150" s="69" t="str">
        <f>IFERROR(VLOOKUP(R150,OB!$B$1:$N$131,4,FALSE),"")</f>
        <v>SN</v>
      </c>
      <c r="R150" s="70">
        <v>30</v>
      </c>
      <c r="S150" s="262" t="str">
        <f>IFERROR(VLOOKUP(R150,OB!$B$1:$N$131,2,FALSE),"")</f>
        <v>BACK WELT PKT BAG FACIN ATTACH *2</v>
      </c>
      <c r="T150" s="263"/>
      <c r="U150" s="71">
        <f>IFERROR(VLOOKUP(R150,OB!$B$1:$N$131,6,FALSE),"")</f>
        <v>0.4</v>
      </c>
      <c r="V150" s="266">
        <f>IFERROR(60/V149,"")</f>
        <v>47.61904761904762</v>
      </c>
      <c r="W150" s="302"/>
    </row>
    <row r="151" spans="1:24" s="58" customFormat="1" ht="13.5" customHeight="1">
      <c r="A151" s="301"/>
      <c r="B151" s="69" t="s">
        <v>6</v>
      </c>
      <c r="C151" s="70">
        <v>32</v>
      </c>
      <c r="D151" s="262" t="str">
        <f>IFERROR(VLOOKUP(C151,OB!$B$1:$N$131,2,FALSE),"")</f>
        <v>BACK WELT PKT CONER TACK *4</v>
      </c>
      <c r="E151" s="263"/>
      <c r="F151" s="71">
        <f>IFERROR(VLOOKUP(C151,OB!$B$1:$N$131,6,FALSE),"")</f>
        <v>0.56000000000000005</v>
      </c>
      <c r="G151" s="267"/>
      <c r="H151" s="72"/>
      <c r="I151" s="78"/>
      <c r="J151" s="72"/>
      <c r="K151" s="72"/>
      <c r="L151" s="72"/>
      <c r="M151" s="72"/>
      <c r="N151" s="72"/>
      <c r="O151" s="68"/>
      <c r="P151" s="62"/>
      <c r="Q151" s="69" t="str">
        <f>IFERROR(VLOOKUP(R151,OB!$B$1:$N$131,4,FALSE),"")</f>
        <v>SN</v>
      </c>
      <c r="R151" s="70">
        <v>50</v>
      </c>
      <c r="S151" s="262" t="str">
        <f>IFERROR(VLOOKUP(R151,OB!$B$1:$N$131,2,FALSE),"")</f>
        <v>SIDE SEM ATTACH *1</v>
      </c>
      <c r="T151" s="263"/>
      <c r="U151" s="71">
        <f>IFERROR(VLOOKUP(R151,OB!$B$1:$N$131,6,FALSE),"")</f>
        <v>0.62</v>
      </c>
      <c r="V151" s="267"/>
      <c r="W151" s="302"/>
    </row>
    <row r="152" spans="1:24" s="58" customFormat="1" ht="13.5" customHeight="1">
      <c r="A152" s="301"/>
      <c r="B152" s="69" t="str">
        <f>IFERROR(VLOOKUP(C152,OB!$B$1:$N$131,4,FALSE),"")</f>
        <v>SN</v>
      </c>
      <c r="C152" s="70">
        <v>44</v>
      </c>
      <c r="D152" s="262" t="str">
        <f>IFERROR(VLOOKUP(C152,OB!$B$1:$N$131,2,FALSE),"")</f>
        <v>IN SIDE WAIST BAND ATTACH *1</v>
      </c>
      <c r="E152" s="263"/>
      <c r="F152" s="71">
        <f>IFERROR(VLOOKUP(C152,OB!$B$1:$N$131,6,FALSE),"")</f>
        <v>0.64</v>
      </c>
      <c r="G152" s="73"/>
      <c r="H152" s="72"/>
      <c r="I152" s="67"/>
      <c r="J152" s="61"/>
      <c r="K152" s="61"/>
      <c r="L152" s="61"/>
      <c r="M152" s="61"/>
      <c r="N152" s="61"/>
      <c r="O152" s="68"/>
      <c r="P152" s="62"/>
      <c r="Q152" s="69" t="str">
        <f>IFERROR(VLOOKUP(R152,OB!$B$1:$N$131,4,FALSE),"")</f>
        <v>SN</v>
      </c>
      <c r="R152" s="70">
        <v>7</v>
      </c>
      <c r="S152" s="262" t="str">
        <f>IFERROR(VLOOKUP(R152,OB!$B$1:$N$131,2,FALSE),"")</f>
        <v>SIDE ZIPPER PKT BAG FACIN CLOSE *1</v>
      </c>
      <c r="T152" s="263"/>
      <c r="U152" s="71">
        <f>IFERROR(VLOOKUP(R152,OB!$B$1:$N$131,6,FALSE),"")</f>
        <v>0.24</v>
      </c>
      <c r="V152" s="73"/>
      <c r="W152" s="302"/>
    </row>
    <row r="153" spans="1:24" s="58" customFormat="1" ht="13.5" customHeight="1">
      <c r="A153" s="301"/>
      <c r="B153" s="69" t="str">
        <f>IFERROR(VLOOKUP(C153,OB!$B$1:$N$131,4,FALSE),"")</f>
        <v>BTK</v>
      </c>
      <c r="C153" s="70">
        <v>51</v>
      </c>
      <c r="D153" s="291" t="str">
        <f>IFERROR(VLOOKUP(C153,OB!$B$1:$N$131,2,FALSE),"")</f>
        <v>SIDE SEAM ZIPPER BTK *2</v>
      </c>
      <c r="E153" s="292"/>
      <c r="F153" s="71">
        <f>IFERROR(VLOOKUP(C153,OB!$B$1:$N$131,6,FALSE),"")</f>
        <v>0.12</v>
      </c>
      <c r="G153" s="295">
        <f>IFERROR(G149/$T$10,"")</f>
        <v>1.339553752535497</v>
      </c>
      <c r="H153" s="74"/>
      <c r="I153" s="79"/>
      <c r="J153" s="74"/>
      <c r="K153" s="74"/>
      <c r="L153" s="74"/>
      <c r="M153" s="74"/>
      <c r="N153" s="74"/>
      <c r="O153" s="68"/>
      <c r="P153" s="62"/>
      <c r="Q153" s="69" t="str">
        <f>IFERROR(VLOOKUP(R153,OB!$B$1:$N$131,4,FALSE),"")</f>
        <v/>
      </c>
      <c r="R153" s="70"/>
      <c r="S153" s="291" t="str">
        <f>IFERROR(VLOOKUP(R153,OB!$B$1:$N$131,2,FALSE),"")</f>
        <v/>
      </c>
      <c r="T153" s="292"/>
      <c r="U153" s="71" t="str">
        <f>IFERROR(VLOOKUP(R153,OB!$B$1:$N$131,6,FALSE),"")</f>
        <v/>
      </c>
      <c r="V153" s="295">
        <f>IFERROR(V149/$T$10,"")</f>
        <v>0.66450304259634896</v>
      </c>
      <c r="W153" s="302"/>
    </row>
    <row r="154" spans="1:24" s="58" customFormat="1" ht="13.5" customHeight="1" thickBot="1">
      <c r="A154" s="301"/>
      <c r="B154" s="75" t="str">
        <f>IFERROR(VLOOKUP(C154,OB!$B$1:$N$131,4,FALSE),"")</f>
        <v/>
      </c>
      <c r="C154" s="76"/>
      <c r="D154" s="297" t="str">
        <f>IFERROR(VLOOKUP(C154,OB!$B$1:$N$131,2,FALSE),"")</f>
        <v/>
      </c>
      <c r="E154" s="298"/>
      <c r="F154" s="77" t="str">
        <f>IFERROR(VLOOKUP(C154,OB!$B$1:$N$131,6,FALSE),"")</f>
        <v/>
      </c>
      <c r="G154" s="296"/>
      <c r="H154" s="74"/>
      <c r="I154" s="79"/>
      <c r="J154" s="74"/>
      <c r="K154" s="74"/>
      <c r="L154" s="74"/>
      <c r="M154" s="74"/>
      <c r="N154" s="74"/>
      <c r="O154" s="68"/>
      <c r="P154" s="62"/>
      <c r="Q154" s="75" t="str">
        <f>IFERROR(VLOOKUP(R154,OB!$B$1:$N$131,4,FALSE),"")</f>
        <v/>
      </c>
      <c r="R154" s="76"/>
      <c r="S154" s="297" t="str">
        <f>IFERROR(VLOOKUP(R154,OB!$B$1:$N$131,2,FALSE),"")</f>
        <v/>
      </c>
      <c r="T154" s="298"/>
      <c r="U154" s="77" t="str">
        <f>IFERROR(VLOOKUP(R154,OB!$B$1:$N$131,6,FALSE),"")</f>
        <v/>
      </c>
      <c r="V154" s="296"/>
      <c r="W154" s="302"/>
    </row>
    <row r="155" spans="1:24" ht="13.5" customHeight="1" thickBot="1">
      <c r="A155" s="86"/>
      <c r="I155" s="80"/>
      <c r="O155" s="81"/>
      <c r="W155" s="86"/>
      <c r="X155" s="58"/>
    </row>
    <row r="156" spans="1:24" s="58" customFormat="1" ht="13.5" customHeight="1">
      <c r="A156" s="301"/>
      <c r="B156" s="63" t="str">
        <f>IFERROR(VLOOKUP(C156,OB!$B$1:$N$131,4,FALSE),"")</f>
        <v>HL</v>
      </c>
      <c r="C156" s="64" t="s">
        <v>93</v>
      </c>
      <c r="D156" s="264" t="str">
        <f>IFERROR(VLOOKUP(C156,OB!$B$1:$N$131,2,FALSE),"")</f>
        <v>FLY BOX TRUN *1</v>
      </c>
      <c r="E156" s="265"/>
      <c r="F156" s="65">
        <f>IFERROR(VLOOKUP(C156,OB!$B$1:$N$131,6,FALSE),"")</f>
        <v>0.2</v>
      </c>
      <c r="G156" s="66">
        <f>SUM(F156:F161)</f>
        <v>1.24</v>
      </c>
      <c r="H156" s="61"/>
      <c r="I156" s="67"/>
      <c r="J156" s="61"/>
      <c r="K156" s="61"/>
      <c r="L156" s="61"/>
      <c r="M156" s="61"/>
      <c r="N156" s="61"/>
      <c r="O156" s="68"/>
      <c r="P156" s="62"/>
      <c r="Q156" s="69" t="str">
        <f>IFERROR(VLOOKUP(R156,OB!$B$1:$N$131,4,FALSE),"")</f>
        <v>HL</v>
      </c>
      <c r="R156" s="64" t="s">
        <v>95</v>
      </c>
      <c r="S156" s="264" t="str">
        <f>IFERROR(VLOOKUP(R156,OB!$B$1:$N$131,2,FALSE),"")</f>
        <v>BACK WELT CONER CUT *4</v>
      </c>
      <c r="T156" s="265"/>
      <c r="U156" s="65">
        <f>IFERROR(VLOOKUP(R156,OB!$B$1:$N$131,6,FALSE),"")</f>
        <v>0.55000000000000004</v>
      </c>
      <c r="V156" s="66">
        <f>SUM(U156:U161)</f>
        <v>1.4100000000000001</v>
      </c>
      <c r="W156" s="302"/>
    </row>
    <row r="157" spans="1:24" s="58" customFormat="1" ht="13.5" customHeight="1">
      <c r="A157" s="301"/>
      <c r="B157" s="69" t="str">
        <f>IFERROR(VLOOKUP(C157,OB!$B$1:$N$131,4,FALSE),"")</f>
        <v>IRON</v>
      </c>
      <c r="C157" s="70" t="s">
        <v>94</v>
      </c>
      <c r="D157" s="262" t="str">
        <f>IFERROR(VLOOKUP(C157,OB!$B$1:$N$131,2,FALSE),"")</f>
        <v>FLY BOX IRON *1</v>
      </c>
      <c r="E157" s="263"/>
      <c r="F157" s="71">
        <f>IFERROR(VLOOKUP(C157,OB!$B$1:$N$131,6,FALSE),"")</f>
        <v>0.24</v>
      </c>
      <c r="G157" s="266">
        <f>IFERROR(60/G156,"")</f>
        <v>48.387096774193552</v>
      </c>
      <c r="H157" s="72"/>
      <c r="I157" s="78"/>
      <c r="J157" s="72"/>
      <c r="K157" s="72"/>
      <c r="L157" s="72"/>
      <c r="M157" s="72"/>
      <c r="N157" s="72"/>
      <c r="O157" s="68"/>
      <c r="P157" s="62"/>
      <c r="Q157" s="69" t="str">
        <f>IFERROR(VLOOKUP(R157,OB!$B$1:$N$131,4,FALSE),"")</f>
        <v>IRON</v>
      </c>
      <c r="R157" s="70" t="s">
        <v>96</v>
      </c>
      <c r="S157" s="262" t="str">
        <f>IFERROR(VLOOKUP(R157,OB!$B$1:$N$131,2,FALSE),"")</f>
        <v>BACK WELT MOUTH FIUSING ATTACH *2</v>
      </c>
      <c r="T157" s="263"/>
      <c r="U157" s="71">
        <f>IFERROR(VLOOKUP(R157,OB!$B$1:$N$131,6,FALSE),"")</f>
        <v>0.34</v>
      </c>
      <c r="V157" s="266">
        <f>IFERROR(60/V156,"")</f>
        <v>42.553191489361701</v>
      </c>
      <c r="W157" s="302"/>
    </row>
    <row r="158" spans="1:24" s="58" customFormat="1" ht="13.5" customHeight="1">
      <c r="A158" s="301"/>
      <c r="B158" s="69" t="s">
        <v>109</v>
      </c>
      <c r="C158" s="70" t="s">
        <v>100</v>
      </c>
      <c r="D158" s="262" t="str">
        <f>IFERROR(VLOOKUP(C158,OB!$B$1:$N$131,2,FALSE),"")</f>
        <v>OUT THRED CUT</v>
      </c>
      <c r="E158" s="263"/>
      <c r="F158" s="71">
        <f>IFERROR(VLOOKUP(C158,OB!$B$1:$N$131,6,FALSE),"")</f>
        <v>0.8</v>
      </c>
      <c r="G158" s="267"/>
      <c r="H158" s="72"/>
      <c r="I158" s="78"/>
      <c r="J158" s="72"/>
      <c r="K158" s="72"/>
      <c r="L158" s="72"/>
      <c r="M158" s="72"/>
      <c r="N158" s="72"/>
      <c r="O158" s="68"/>
      <c r="P158" s="62"/>
      <c r="Q158" s="69" t="s">
        <v>112</v>
      </c>
      <c r="R158" s="70" t="s">
        <v>99</v>
      </c>
      <c r="S158" s="262" t="str">
        <f>IFERROR(VLOOKUP(R158,OB!$B$1:$N$131,2,FALSE),"")</f>
        <v>WAIST BAND MARK *2</v>
      </c>
      <c r="T158" s="263"/>
      <c r="U158" s="71">
        <f>IFERROR(VLOOKUP(R158,OB!$B$1:$N$131,6,FALSE),"")</f>
        <v>0.52</v>
      </c>
      <c r="V158" s="267"/>
      <c r="W158" s="302"/>
    </row>
    <row r="159" spans="1:24" s="58" customFormat="1" ht="13.5" customHeight="1">
      <c r="A159" s="301"/>
      <c r="B159" s="69" t="str">
        <f>IFERROR(VLOOKUP(C159,OB!$B$1:$N$131,4,FALSE),"")</f>
        <v/>
      </c>
      <c r="C159" s="70" t="s">
        <v>101</v>
      </c>
      <c r="D159" s="262" t="str">
        <f>IFERROR(VLOOKUP(C159,OB!$B$1:$N$131,2,FALSE),"")</f>
        <v/>
      </c>
      <c r="E159" s="263"/>
      <c r="F159" s="71" t="str">
        <f>IFERROR(VLOOKUP(C159,OB!$B$1:$N$131,6,FALSE),"")</f>
        <v/>
      </c>
      <c r="G159" s="73"/>
      <c r="H159" s="72"/>
      <c r="I159" s="67"/>
      <c r="J159" s="61"/>
      <c r="K159" s="61"/>
      <c r="L159" s="61"/>
      <c r="M159" s="61"/>
      <c r="N159" s="61"/>
      <c r="O159" s="68"/>
      <c r="P159" s="62"/>
      <c r="Q159" s="69" t="str">
        <f>IFERROR(VLOOKUP(R159,OB!$B$1:$N$131,4,FALSE),"")</f>
        <v/>
      </c>
      <c r="R159" s="70" t="s">
        <v>103</v>
      </c>
      <c r="S159" s="262" t="str">
        <f>IFERROR(VLOOKUP(R159,OB!$B$1:$N$131,2,FALSE),"")</f>
        <v/>
      </c>
      <c r="T159" s="263"/>
      <c r="U159" s="71" t="str">
        <f>IFERROR(VLOOKUP(R159,OB!$B$1:$N$131,6,FALSE),"")</f>
        <v/>
      </c>
      <c r="V159" s="73"/>
      <c r="W159" s="302"/>
    </row>
    <row r="160" spans="1:24" s="58" customFormat="1" ht="13.5" customHeight="1">
      <c r="A160" s="301"/>
      <c r="B160" s="69" t="str">
        <f>IFERROR(VLOOKUP(C160,OB!$B$1:$N$131,4,FALSE),"")</f>
        <v/>
      </c>
      <c r="C160" s="70"/>
      <c r="D160" s="291" t="str">
        <f>IFERROR(VLOOKUP(C160,OB!$B$1:$N$131,2,FALSE),"")</f>
        <v/>
      </c>
      <c r="E160" s="292"/>
      <c r="F160" s="71" t="str">
        <f>IFERROR(VLOOKUP(C160,OB!$B$1:$N$131,6,FALSE),"")</f>
        <v/>
      </c>
      <c r="G160" s="295">
        <f>IFERROR(G156/$T$10,"")</f>
        <v>0.65395537525354974</v>
      </c>
      <c r="H160" s="74"/>
      <c r="I160" s="79"/>
      <c r="J160" s="74"/>
      <c r="K160" s="74"/>
      <c r="L160" s="74"/>
      <c r="M160" s="74"/>
      <c r="N160" s="74"/>
      <c r="O160" s="68"/>
      <c r="P160" s="62"/>
      <c r="Q160" s="69" t="str">
        <f>IFERROR(VLOOKUP(R160,OB!$B$1:$N$131,4,FALSE),"")</f>
        <v/>
      </c>
      <c r="R160" s="70"/>
      <c r="S160" s="291" t="str">
        <f>IFERROR(VLOOKUP(R160,OB!$B$1:$N$131,2,FALSE),"")</f>
        <v/>
      </c>
      <c r="T160" s="292"/>
      <c r="U160" s="71" t="str">
        <f>IFERROR(VLOOKUP(R160,OB!$B$1:$N$131,6,FALSE),"")</f>
        <v/>
      </c>
      <c r="V160" s="295">
        <f>IFERROR(V156/$T$10,"")</f>
        <v>0.74361054766734291</v>
      </c>
      <c r="W160" s="302"/>
    </row>
    <row r="161" spans="1:24" s="58" customFormat="1" ht="13.5" customHeight="1" thickBot="1">
      <c r="A161" s="301"/>
      <c r="B161" s="75" t="s">
        <v>111</v>
      </c>
      <c r="C161" s="76"/>
      <c r="D161" s="297" t="str">
        <f>IFERROR(VLOOKUP(C161,OB!$B$1:$N$131,2,FALSE),"")</f>
        <v/>
      </c>
      <c r="E161" s="298"/>
      <c r="F161" s="77" t="str">
        <f>IFERROR(VLOOKUP(C161,OB!$B$1:$N$131,6,FALSE),"")</f>
        <v/>
      </c>
      <c r="G161" s="296"/>
      <c r="H161" s="74"/>
      <c r="I161" s="79"/>
      <c r="J161" s="74"/>
      <c r="K161" s="74"/>
      <c r="L161" s="74"/>
      <c r="M161" s="74"/>
      <c r="N161" s="74"/>
      <c r="O161" s="68"/>
      <c r="P161" s="62"/>
      <c r="Q161" s="75" t="s">
        <v>113</v>
      </c>
      <c r="R161" s="76"/>
      <c r="S161" s="297" t="str">
        <f>IFERROR(VLOOKUP(R161,OB!$B$1:$N$131,2,FALSE),"")</f>
        <v/>
      </c>
      <c r="T161" s="298"/>
      <c r="U161" s="77" t="str">
        <f>IFERROR(VLOOKUP(R161,OB!$B$1:$N$131,6,FALSE),"")</f>
        <v/>
      </c>
      <c r="V161" s="296"/>
      <c r="W161" s="302"/>
    </row>
    <row r="162" spans="1:24" ht="13.5" customHeight="1">
      <c r="A162" s="86"/>
      <c r="I162" s="80"/>
      <c r="O162" s="81"/>
      <c r="W162" s="86"/>
      <c r="X162" s="58"/>
    </row>
    <row r="163" spans="1:24" ht="15" customHeight="1">
      <c r="X163" s="58"/>
    </row>
    <row r="164" spans="1:24" ht="15" thickBot="1">
      <c r="X164" s="58"/>
    </row>
    <row r="165" spans="1:24">
      <c r="D165" s="303" t="s">
        <v>120</v>
      </c>
      <c r="E165" s="310" t="s">
        <v>121</v>
      </c>
      <c r="S165" s="305" t="s">
        <v>82</v>
      </c>
      <c r="T165" s="305" t="s">
        <v>83</v>
      </c>
      <c r="X165" s="58"/>
    </row>
    <row r="166" spans="1:24" ht="15.75" customHeight="1" thickBot="1">
      <c r="D166" s="304"/>
      <c r="E166" s="311"/>
      <c r="S166" s="306"/>
      <c r="T166" s="306"/>
      <c r="X166" s="58"/>
    </row>
    <row r="167" spans="1:24">
      <c r="D167" s="167" t="s">
        <v>4</v>
      </c>
      <c r="E167" s="168">
        <v>18</v>
      </c>
      <c r="S167" s="83" t="s">
        <v>79</v>
      </c>
      <c r="T167" s="84"/>
      <c r="X167" s="58"/>
    </row>
    <row r="168" spans="1:24">
      <c r="D168" s="163" t="s">
        <v>115</v>
      </c>
      <c r="E168" s="165">
        <v>2</v>
      </c>
      <c r="S168" s="83" t="s">
        <v>80</v>
      </c>
      <c r="T168" s="84"/>
      <c r="X168" s="58"/>
    </row>
    <row r="169" spans="1:24">
      <c r="D169" s="163" t="s">
        <v>108</v>
      </c>
      <c r="E169" s="165">
        <v>2</v>
      </c>
      <c r="S169" s="83" t="s">
        <v>81</v>
      </c>
      <c r="T169" s="84"/>
      <c r="X169" s="58"/>
    </row>
    <row r="170" spans="1:24">
      <c r="D170" s="163" t="s">
        <v>122</v>
      </c>
      <c r="E170" s="165">
        <v>6</v>
      </c>
      <c r="S170" s="83" t="s">
        <v>84</v>
      </c>
      <c r="T170" s="84"/>
      <c r="X170" s="58"/>
    </row>
    <row r="171" spans="1:24">
      <c r="D171" s="163" t="s">
        <v>5</v>
      </c>
      <c r="E171" s="165">
        <v>3</v>
      </c>
      <c r="S171" s="83"/>
      <c r="T171" s="84"/>
      <c r="X171" s="58"/>
    </row>
    <row r="172" spans="1:24">
      <c r="D172" s="163" t="s">
        <v>76</v>
      </c>
      <c r="E172" s="165">
        <v>3</v>
      </c>
      <c r="S172" s="83"/>
      <c r="T172" s="84"/>
      <c r="X172" s="58"/>
    </row>
    <row r="173" spans="1:24">
      <c r="D173" s="163" t="s">
        <v>6</v>
      </c>
      <c r="E173" s="165">
        <v>1</v>
      </c>
      <c r="S173" s="83"/>
      <c r="T173" s="84"/>
      <c r="X173" s="58"/>
    </row>
    <row r="174" spans="1:24" ht="15" customHeight="1">
      <c r="D174" s="163" t="s">
        <v>77</v>
      </c>
      <c r="E174" s="165">
        <v>2</v>
      </c>
      <c r="S174" s="83"/>
      <c r="T174" s="84"/>
      <c r="X174" s="58"/>
    </row>
    <row r="175" spans="1:24" ht="15" customHeight="1">
      <c r="D175" s="163" t="s">
        <v>78</v>
      </c>
      <c r="E175" s="165"/>
      <c r="S175" s="83"/>
      <c r="T175" s="84"/>
      <c r="X175" s="58"/>
    </row>
    <row r="176" spans="1:24" ht="15" customHeight="1">
      <c r="D176" s="163"/>
      <c r="E176" s="165"/>
      <c r="S176" s="83"/>
      <c r="T176" s="84"/>
      <c r="X176" s="58"/>
    </row>
    <row r="177" spans="4:24" ht="15" customHeight="1" thickBot="1">
      <c r="D177" s="164"/>
      <c r="E177" s="166"/>
      <c r="S177" s="85"/>
      <c r="T177" s="82"/>
      <c r="X177" s="58"/>
    </row>
    <row r="178" spans="4:24">
      <c r="X178" s="58"/>
    </row>
    <row r="179" spans="4:24">
      <c r="X179" s="58"/>
    </row>
    <row r="180" spans="4:24">
      <c r="X180" s="58"/>
    </row>
    <row r="181" spans="4:24">
      <c r="X181" s="58"/>
    </row>
    <row r="182" spans="4:24">
      <c r="X182" s="58"/>
    </row>
    <row r="183" spans="4:24">
      <c r="X183" s="58"/>
    </row>
    <row r="184" spans="4:24">
      <c r="X184" s="58"/>
    </row>
    <row r="185" spans="4:24" ht="14.25" customHeight="1">
      <c r="X185" s="58"/>
    </row>
    <row r="186" spans="4:24" ht="14.25" customHeight="1">
      <c r="X186" s="58"/>
    </row>
    <row r="187" spans="4:24">
      <c r="X187" s="58"/>
    </row>
    <row r="188" spans="4:24">
      <c r="X188" s="58"/>
    </row>
    <row r="189" spans="4:24">
      <c r="X189" s="58"/>
    </row>
    <row r="190" spans="4:24">
      <c r="X190" s="58"/>
    </row>
    <row r="191" spans="4:24">
      <c r="X191" s="58"/>
    </row>
    <row r="192" spans="4:24">
      <c r="X192" s="58"/>
    </row>
    <row r="193" spans="24:24">
      <c r="X193" s="58"/>
    </row>
    <row r="200" spans="24:24" ht="15" customHeight="1"/>
    <row r="201" spans="24:24" ht="15" customHeight="1"/>
    <row r="202" spans="24:24" ht="15" customHeight="1"/>
    <row r="203" spans="24:24" ht="15" customHeight="1"/>
    <row r="204" spans="24:24" ht="12" customHeight="1"/>
    <row r="205" spans="24:24" ht="14.25" customHeight="1"/>
    <row r="206" spans="24:24" ht="14.25" customHeight="1"/>
    <row r="207" spans="24:24" ht="13.5" customHeight="1"/>
    <row r="208" spans="24:24" ht="15.75" customHeight="1"/>
    <row r="209" ht="14.25" customHeight="1"/>
    <row r="210" ht="15" customHeight="1"/>
  </sheetData>
  <mergeCells count="410">
    <mergeCell ref="D165:D166"/>
    <mergeCell ref="T165:T166"/>
    <mergeCell ref="E10:G10"/>
    <mergeCell ref="T10:V10"/>
    <mergeCell ref="E165:E166"/>
    <mergeCell ref="S165:S166"/>
    <mergeCell ref="D160:E160"/>
    <mergeCell ref="D156:E156"/>
    <mergeCell ref="S156:T156"/>
    <mergeCell ref="D157:E157"/>
    <mergeCell ref="G157:G158"/>
    <mergeCell ref="S157:T157"/>
    <mergeCell ref="D149:E149"/>
    <mergeCell ref="G153:G154"/>
    <mergeCell ref="S153:T153"/>
    <mergeCell ref="D151:E151"/>
    <mergeCell ref="S151:T151"/>
    <mergeCell ref="S149:T149"/>
    <mergeCell ref="D114:E114"/>
    <mergeCell ref="S114:T114"/>
    <mergeCell ref="V107:V108"/>
    <mergeCell ref="D108:E108"/>
    <mergeCell ref="S108:T108"/>
    <mergeCell ref="D111:E111"/>
    <mergeCell ref="W135:W140"/>
    <mergeCell ref="W142:W147"/>
    <mergeCell ref="W149:W154"/>
    <mergeCell ref="W156:W161"/>
    <mergeCell ref="W70:W75"/>
    <mergeCell ref="W77:W82"/>
    <mergeCell ref="W121:W126"/>
    <mergeCell ref="W128:W133"/>
    <mergeCell ref="W13:W18"/>
    <mergeCell ref="W20:W25"/>
    <mergeCell ref="W27:W32"/>
    <mergeCell ref="W34:W39"/>
    <mergeCell ref="W41:W47"/>
    <mergeCell ref="W92:W97"/>
    <mergeCell ref="W99:W104"/>
    <mergeCell ref="W106:W112"/>
    <mergeCell ref="W114:W119"/>
    <mergeCell ref="A49:A54"/>
    <mergeCell ref="A114:A119"/>
    <mergeCell ref="A106:A112"/>
    <mergeCell ref="A99:A104"/>
    <mergeCell ref="A92:A97"/>
    <mergeCell ref="A84:A90"/>
    <mergeCell ref="A77:A82"/>
    <mergeCell ref="A70:A75"/>
    <mergeCell ref="A63:A68"/>
    <mergeCell ref="A56:A61"/>
    <mergeCell ref="A41:A47"/>
    <mergeCell ref="A34:A39"/>
    <mergeCell ref="A27:A32"/>
    <mergeCell ref="A20:A25"/>
    <mergeCell ref="A13:A18"/>
    <mergeCell ref="W49:W54"/>
    <mergeCell ref="W56:W61"/>
    <mergeCell ref="W63:W68"/>
    <mergeCell ref="W84:W90"/>
    <mergeCell ref="D84:E84"/>
    <mergeCell ref="S84:T84"/>
    <mergeCell ref="V78:V79"/>
    <mergeCell ref="D79:E79"/>
    <mergeCell ref="S79:T79"/>
    <mergeCell ref="D81:E81"/>
    <mergeCell ref="G81:G82"/>
    <mergeCell ref="S81:T81"/>
    <mergeCell ref="V81:V82"/>
    <mergeCell ref="D82:E82"/>
    <mergeCell ref="S82:T82"/>
    <mergeCell ref="D80:E80"/>
    <mergeCell ref="S80:T80"/>
    <mergeCell ref="D77:E77"/>
    <mergeCell ref="S77:T77"/>
    <mergeCell ref="A156:A161"/>
    <mergeCell ref="A149:A154"/>
    <mergeCell ref="A142:A147"/>
    <mergeCell ref="A135:A140"/>
    <mergeCell ref="A128:A133"/>
    <mergeCell ref="A121:A126"/>
    <mergeCell ref="V153:V154"/>
    <mergeCell ref="D154:E154"/>
    <mergeCell ref="S154:T154"/>
    <mergeCell ref="G160:G161"/>
    <mergeCell ref="S160:T160"/>
    <mergeCell ref="V160:V161"/>
    <mergeCell ref="D161:E161"/>
    <mergeCell ref="S161:T161"/>
    <mergeCell ref="V157:V158"/>
    <mergeCell ref="D158:E158"/>
    <mergeCell ref="D153:E153"/>
    <mergeCell ref="D146:E146"/>
    <mergeCell ref="G146:G147"/>
    <mergeCell ref="S146:T146"/>
    <mergeCell ref="V146:V147"/>
    <mergeCell ref="D147:E147"/>
    <mergeCell ref="S147:T147"/>
    <mergeCell ref="V150:V151"/>
    <mergeCell ref="D150:E150"/>
    <mergeCell ref="G150:G151"/>
    <mergeCell ref="S150:T150"/>
    <mergeCell ref="D142:E142"/>
    <mergeCell ref="S142:T142"/>
    <mergeCell ref="D143:E143"/>
    <mergeCell ref="G143:G144"/>
    <mergeCell ref="S143:T143"/>
    <mergeCell ref="V136:V137"/>
    <mergeCell ref="D137:E137"/>
    <mergeCell ref="S137:T137"/>
    <mergeCell ref="D139:E139"/>
    <mergeCell ref="G139:G140"/>
    <mergeCell ref="S139:T139"/>
    <mergeCell ref="V139:V140"/>
    <mergeCell ref="D140:E140"/>
    <mergeCell ref="S140:T140"/>
    <mergeCell ref="D144:E144"/>
    <mergeCell ref="S144:T144"/>
    <mergeCell ref="V143:V144"/>
    <mergeCell ref="D138:E138"/>
    <mergeCell ref="S138:T138"/>
    <mergeCell ref="D145:E145"/>
    <mergeCell ref="S145:T145"/>
    <mergeCell ref="D135:E135"/>
    <mergeCell ref="S135:T135"/>
    <mergeCell ref="D136:E136"/>
    <mergeCell ref="G136:G137"/>
    <mergeCell ref="S136:T136"/>
    <mergeCell ref="V129:V130"/>
    <mergeCell ref="D130:E130"/>
    <mergeCell ref="S130:T130"/>
    <mergeCell ref="D132:E132"/>
    <mergeCell ref="G132:G133"/>
    <mergeCell ref="S132:T132"/>
    <mergeCell ref="V132:V133"/>
    <mergeCell ref="D133:E133"/>
    <mergeCell ref="S133:T133"/>
    <mergeCell ref="D131:E131"/>
    <mergeCell ref="S131:T131"/>
    <mergeCell ref="D128:E128"/>
    <mergeCell ref="S128:T128"/>
    <mergeCell ref="D129:E129"/>
    <mergeCell ref="G129:G130"/>
    <mergeCell ref="S129:T129"/>
    <mergeCell ref="V122:V123"/>
    <mergeCell ref="D123:E123"/>
    <mergeCell ref="S123:T123"/>
    <mergeCell ref="D125:E125"/>
    <mergeCell ref="G125:G126"/>
    <mergeCell ref="S125:T125"/>
    <mergeCell ref="V125:V126"/>
    <mergeCell ref="D126:E126"/>
    <mergeCell ref="S126:T126"/>
    <mergeCell ref="D124:E124"/>
    <mergeCell ref="S124:T124"/>
    <mergeCell ref="D121:E121"/>
    <mergeCell ref="S121:T121"/>
    <mergeCell ref="D122:E122"/>
    <mergeCell ref="G122:G123"/>
    <mergeCell ref="S122:T122"/>
    <mergeCell ref="V115:V116"/>
    <mergeCell ref="D116:E116"/>
    <mergeCell ref="S116:T116"/>
    <mergeCell ref="D118:E118"/>
    <mergeCell ref="G118:G119"/>
    <mergeCell ref="S118:T118"/>
    <mergeCell ref="V118:V119"/>
    <mergeCell ref="D119:E119"/>
    <mergeCell ref="S119:T119"/>
    <mergeCell ref="D117:E117"/>
    <mergeCell ref="S117:T117"/>
    <mergeCell ref="D115:E115"/>
    <mergeCell ref="G115:G116"/>
    <mergeCell ref="S115:T115"/>
    <mergeCell ref="G111:G112"/>
    <mergeCell ref="S111:T111"/>
    <mergeCell ref="V111:V112"/>
    <mergeCell ref="D112:E112"/>
    <mergeCell ref="S112:T112"/>
    <mergeCell ref="D110:E110"/>
    <mergeCell ref="S110:T110"/>
    <mergeCell ref="D109:E109"/>
    <mergeCell ref="S109:T109"/>
    <mergeCell ref="D106:E106"/>
    <mergeCell ref="S106:T106"/>
    <mergeCell ref="D107:E107"/>
    <mergeCell ref="G107:G108"/>
    <mergeCell ref="S107:T107"/>
    <mergeCell ref="V100:V101"/>
    <mergeCell ref="D101:E101"/>
    <mergeCell ref="S101:T101"/>
    <mergeCell ref="D103:E103"/>
    <mergeCell ref="G103:G104"/>
    <mergeCell ref="S103:T103"/>
    <mergeCell ref="V103:V104"/>
    <mergeCell ref="D104:E104"/>
    <mergeCell ref="S104:T104"/>
    <mergeCell ref="D102:E102"/>
    <mergeCell ref="S102:T102"/>
    <mergeCell ref="D99:E99"/>
    <mergeCell ref="S99:T99"/>
    <mergeCell ref="D100:E100"/>
    <mergeCell ref="G100:G101"/>
    <mergeCell ref="S100:T100"/>
    <mergeCell ref="V93:V94"/>
    <mergeCell ref="D94:E94"/>
    <mergeCell ref="S94:T94"/>
    <mergeCell ref="D96:E96"/>
    <mergeCell ref="G96:G97"/>
    <mergeCell ref="S96:T96"/>
    <mergeCell ref="V96:V97"/>
    <mergeCell ref="D97:E97"/>
    <mergeCell ref="S97:T97"/>
    <mergeCell ref="D95:E95"/>
    <mergeCell ref="S95:T95"/>
    <mergeCell ref="D92:E92"/>
    <mergeCell ref="S92:T92"/>
    <mergeCell ref="D93:E93"/>
    <mergeCell ref="G93:G94"/>
    <mergeCell ref="S93:T93"/>
    <mergeCell ref="V85:V86"/>
    <mergeCell ref="D86:E86"/>
    <mergeCell ref="S86:T86"/>
    <mergeCell ref="D89:E89"/>
    <mergeCell ref="G89:G90"/>
    <mergeCell ref="S89:T89"/>
    <mergeCell ref="V89:V90"/>
    <mergeCell ref="D90:E90"/>
    <mergeCell ref="S90:T90"/>
    <mergeCell ref="D87:E87"/>
    <mergeCell ref="S87:T87"/>
    <mergeCell ref="D88:E88"/>
    <mergeCell ref="S88:T88"/>
    <mergeCell ref="D85:E85"/>
    <mergeCell ref="G85:G86"/>
    <mergeCell ref="S85:T85"/>
    <mergeCell ref="D78:E78"/>
    <mergeCell ref="G78:G79"/>
    <mergeCell ref="S78:T78"/>
    <mergeCell ref="V71:V72"/>
    <mergeCell ref="D72:E72"/>
    <mergeCell ref="S72:T72"/>
    <mergeCell ref="D74:E74"/>
    <mergeCell ref="G74:G75"/>
    <mergeCell ref="S74:T74"/>
    <mergeCell ref="V74:V75"/>
    <mergeCell ref="D75:E75"/>
    <mergeCell ref="S75:T75"/>
    <mergeCell ref="D73:E73"/>
    <mergeCell ref="S73:T73"/>
    <mergeCell ref="D70:E70"/>
    <mergeCell ref="S70:T70"/>
    <mergeCell ref="D71:E71"/>
    <mergeCell ref="G71:G72"/>
    <mergeCell ref="S71:T71"/>
    <mergeCell ref="V64:V65"/>
    <mergeCell ref="D65:E65"/>
    <mergeCell ref="S65:T65"/>
    <mergeCell ref="D67:E67"/>
    <mergeCell ref="G67:G68"/>
    <mergeCell ref="S67:T67"/>
    <mergeCell ref="V67:V68"/>
    <mergeCell ref="D68:E68"/>
    <mergeCell ref="S68:T68"/>
    <mergeCell ref="D66:E66"/>
    <mergeCell ref="S66:T66"/>
    <mergeCell ref="D63:E63"/>
    <mergeCell ref="S63:T63"/>
    <mergeCell ref="D64:E64"/>
    <mergeCell ref="G64:G65"/>
    <mergeCell ref="S64:T64"/>
    <mergeCell ref="V57:V58"/>
    <mergeCell ref="D58:E58"/>
    <mergeCell ref="S58:T58"/>
    <mergeCell ref="D60:E60"/>
    <mergeCell ref="G60:G61"/>
    <mergeCell ref="S60:T60"/>
    <mergeCell ref="V60:V61"/>
    <mergeCell ref="D61:E61"/>
    <mergeCell ref="S61:T61"/>
    <mergeCell ref="D59:E59"/>
    <mergeCell ref="S59:T59"/>
    <mergeCell ref="D56:E56"/>
    <mergeCell ref="S56:T56"/>
    <mergeCell ref="D57:E57"/>
    <mergeCell ref="G57:G58"/>
    <mergeCell ref="S57:T57"/>
    <mergeCell ref="V50:V51"/>
    <mergeCell ref="D51:E51"/>
    <mergeCell ref="S51:T51"/>
    <mergeCell ref="D53:E53"/>
    <mergeCell ref="G53:G54"/>
    <mergeCell ref="S53:T53"/>
    <mergeCell ref="V53:V54"/>
    <mergeCell ref="D54:E54"/>
    <mergeCell ref="S54:T54"/>
    <mergeCell ref="D52:E52"/>
    <mergeCell ref="S52:T52"/>
    <mergeCell ref="G50:G51"/>
    <mergeCell ref="S50:T50"/>
    <mergeCell ref="V42:V43"/>
    <mergeCell ref="D43:E43"/>
    <mergeCell ref="S43:T43"/>
    <mergeCell ref="D46:E46"/>
    <mergeCell ref="G46:G47"/>
    <mergeCell ref="S46:T46"/>
    <mergeCell ref="V46:V47"/>
    <mergeCell ref="D47:E47"/>
    <mergeCell ref="S47:T47"/>
    <mergeCell ref="D44:E44"/>
    <mergeCell ref="S44:T44"/>
    <mergeCell ref="D45:E45"/>
    <mergeCell ref="S45:T45"/>
    <mergeCell ref="V35:V36"/>
    <mergeCell ref="D36:E36"/>
    <mergeCell ref="S36:T36"/>
    <mergeCell ref="D38:E38"/>
    <mergeCell ref="G38:G39"/>
    <mergeCell ref="S38:T38"/>
    <mergeCell ref="V38:V39"/>
    <mergeCell ref="D39:E39"/>
    <mergeCell ref="S39:T39"/>
    <mergeCell ref="D37:E37"/>
    <mergeCell ref="S37:T37"/>
    <mergeCell ref="V28:V29"/>
    <mergeCell ref="D29:E29"/>
    <mergeCell ref="S29:T29"/>
    <mergeCell ref="D31:E31"/>
    <mergeCell ref="G31:G32"/>
    <mergeCell ref="S31:T31"/>
    <mergeCell ref="V31:V32"/>
    <mergeCell ref="D32:E32"/>
    <mergeCell ref="S32:T32"/>
    <mergeCell ref="D30:E30"/>
    <mergeCell ref="S30:T30"/>
    <mergeCell ref="V21:V22"/>
    <mergeCell ref="D22:E22"/>
    <mergeCell ref="S22:T22"/>
    <mergeCell ref="D24:E24"/>
    <mergeCell ref="G24:G25"/>
    <mergeCell ref="S24:T24"/>
    <mergeCell ref="V24:V25"/>
    <mergeCell ref="D25:E25"/>
    <mergeCell ref="S25:T25"/>
    <mergeCell ref="D23:E23"/>
    <mergeCell ref="S23:T23"/>
    <mergeCell ref="T9:V9"/>
    <mergeCell ref="T8:V8"/>
    <mergeCell ref="T7:V7"/>
    <mergeCell ref="S158:T158"/>
    <mergeCell ref="B8:D8"/>
    <mergeCell ref="D20:E20"/>
    <mergeCell ref="S20:T20"/>
    <mergeCell ref="D21:E21"/>
    <mergeCell ref="G21:G22"/>
    <mergeCell ref="S21:T21"/>
    <mergeCell ref="V14:V15"/>
    <mergeCell ref="D15:E15"/>
    <mergeCell ref="S15:T15"/>
    <mergeCell ref="D17:E17"/>
    <mergeCell ref="G17:G18"/>
    <mergeCell ref="S17:T17"/>
    <mergeCell ref="V17:V18"/>
    <mergeCell ref="D18:E18"/>
    <mergeCell ref="S18:T18"/>
    <mergeCell ref="G14:G15"/>
    <mergeCell ref="S14:T14"/>
    <mergeCell ref="D27:E27"/>
    <mergeCell ref="S27:T27"/>
    <mergeCell ref="D28:E28"/>
    <mergeCell ref="E1:S1"/>
    <mergeCell ref="E2:S2"/>
    <mergeCell ref="E3:S3"/>
    <mergeCell ref="B5:D5"/>
    <mergeCell ref="Q7:S7"/>
    <mergeCell ref="B7:D7"/>
    <mergeCell ref="Q10:S10"/>
    <mergeCell ref="Q9:S9"/>
    <mergeCell ref="Q8:S8"/>
    <mergeCell ref="B10:D10"/>
    <mergeCell ref="B9:D9"/>
    <mergeCell ref="B1:D1"/>
    <mergeCell ref="E9:G9"/>
    <mergeCell ref="E8:G8"/>
    <mergeCell ref="E7:G7"/>
    <mergeCell ref="E5:G5"/>
    <mergeCell ref="D152:E152"/>
    <mergeCell ref="S152:T152"/>
    <mergeCell ref="D159:E159"/>
    <mergeCell ref="S159:T159"/>
    <mergeCell ref="D16:E16"/>
    <mergeCell ref="S16:T16"/>
    <mergeCell ref="D13:E13"/>
    <mergeCell ref="S13:T13"/>
    <mergeCell ref="D14:E14"/>
    <mergeCell ref="G28:G29"/>
    <mergeCell ref="S28:T28"/>
    <mergeCell ref="D34:E34"/>
    <mergeCell ref="S34:T34"/>
    <mergeCell ref="D35:E35"/>
    <mergeCell ref="G35:G36"/>
    <mergeCell ref="S35:T35"/>
    <mergeCell ref="D41:E41"/>
    <mergeCell ref="S41:T41"/>
    <mergeCell ref="D42:E42"/>
    <mergeCell ref="G42:G43"/>
    <mergeCell ref="S42:T42"/>
    <mergeCell ref="D49:E49"/>
    <mergeCell ref="S49:T49"/>
    <mergeCell ref="D50:E50"/>
  </mergeCells>
  <hyperlinks>
    <hyperlink ref="D6" r:id="rId1" display="mailto:concordnet@concord.lk" xr:uid="{00000000-0004-0000-0100-000000000000}"/>
  </hyperlinks>
  <printOptions horizontalCentered="1" verticalCentered="1"/>
  <pageMargins left="0" right="0" top="0" bottom="0" header="0" footer="0"/>
  <pageSetup paperSize="9" scale="52" fitToHeight="5" orientation="portrait" r:id="rId2"/>
  <rowBreaks count="1" manualBreakCount="1">
    <brk id="47" max="22" man="1"/>
  </rowBrea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18"/>
  <sheetViews>
    <sheetView zoomScale="70" zoomScaleNormal="70" workbookViewId="0">
      <pane xSplit="3" ySplit="4" topLeftCell="D38" activePane="bottomRight" state="frozen"/>
      <selection pane="topRight" activeCell="D1" sqref="D1"/>
      <selection pane="bottomLeft" activeCell="A5" sqref="A5"/>
      <selection pane="bottomRight" activeCell="D8" sqref="D8"/>
    </sheetView>
  </sheetViews>
  <sheetFormatPr defaultColWidth="9.109375" defaultRowHeight="14.4"/>
  <cols>
    <col min="1" max="1" width="4.109375" style="1" customWidth="1"/>
    <col min="2" max="3" width="9.109375" style="1"/>
    <col min="4" max="4" width="52.44140625" style="1" customWidth="1"/>
    <col min="5" max="5" width="8.88671875" style="1" customWidth="1"/>
    <col min="6" max="6" width="9.109375" style="1"/>
    <col min="7" max="8" width="10.6640625" style="1" customWidth="1"/>
    <col min="9" max="9" width="9.33203125" style="1" customWidth="1"/>
    <col min="10" max="10" width="10.6640625" style="1" customWidth="1"/>
    <col min="11" max="13" width="9.109375" style="1"/>
    <col min="14" max="14" width="45.44140625" style="1" customWidth="1"/>
    <col min="15" max="16384" width="9.109375" style="1"/>
  </cols>
  <sheetData>
    <row r="1" spans="1:14" ht="29.25" customHeight="1">
      <c r="B1" s="1" t="s">
        <v>60</v>
      </c>
      <c r="C1" s="5" t="s">
        <v>59</v>
      </c>
      <c r="D1" s="321" t="s">
        <v>58</v>
      </c>
      <c r="E1" s="321"/>
      <c r="F1" s="321"/>
      <c r="G1" s="321"/>
      <c r="H1" s="321"/>
      <c r="I1" s="321"/>
      <c r="J1" s="321"/>
      <c r="K1" s="321"/>
      <c r="L1" s="321"/>
      <c r="M1" s="321"/>
    </row>
    <row r="2" spans="1:14" ht="18" customHeight="1">
      <c r="B2" s="322" t="s">
        <v>63</v>
      </c>
      <c r="C2" s="323"/>
      <c r="D2" s="13"/>
    </row>
    <row r="3" spans="1:14" ht="18" customHeight="1" thickBot="1">
      <c r="B3" s="324" t="s">
        <v>64</v>
      </c>
      <c r="C3" s="325"/>
      <c r="D3" s="12"/>
    </row>
    <row r="4" spans="1:14" ht="43.8" thickBot="1">
      <c r="A4" s="23" t="s">
        <v>65</v>
      </c>
      <c r="B4" s="14" t="s">
        <v>57</v>
      </c>
      <c r="C4" s="15" t="s">
        <v>7</v>
      </c>
      <c r="D4" s="15" t="s">
        <v>56</v>
      </c>
      <c r="E4" s="15" t="s">
        <v>9</v>
      </c>
      <c r="F4" s="16" t="s">
        <v>61</v>
      </c>
      <c r="G4" s="15" t="s">
        <v>55</v>
      </c>
      <c r="H4" s="15" t="s">
        <v>54</v>
      </c>
      <c r="I4" s="15" t="s">
        <v>53</v>
      </c>
      <c r="J4" s="15" t="s">
        <v>52</v>
      </c>
      <c r="K4" s="15" t="s">
        <v>51</v>
      </c>
      <c r="L4" s="15" t="s">
        <v>50</v>
      </c>
      <c r="M4" s="15" t="s">
        <v>49</v>
      </c>
      <c r="N4" s="17" t="s">
        <v>48</v>
      </c>
    </row>
    <row r="5" spans="1:14">
      <c r="A5" s="312" t="e">
        <f>IF('Lay out'!#REF!="","",'Lay out'!#REF!)</f>
        <v>#REF!</v>
      </c>
      <c r="B5" s="315"/>
      <c r="C5" s="3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>
      <c r="A6" s="313"/>
      <c r="B6" s="316"/>
      <c r="C6" s="319"/>
      <c r="D6" s="4"/>
      <c r="E6" s="4"/>
      <c r="F6" s="4"/>
      <c r="G6" s="4"/>
      <c r="H6" s="4"/>
      <c r="I6" s="4"/>
      <c r="J6" s="4"/>
      <c r="K6" s="4"/>
      <c r="L6" s="4"/>
      <c r="M6" s="4"/>
      <c r="N6" s="20"/>
    </row>
    <row r="7" spans="1:14">
      <c r="A7" s="313"/>
      <c r="B7" s="316"/>
      <c r="C7" s="319"/>
      <c r="D7" s="4"/>
      <c r="E7" s="4"/>
      <c r="F7" s="4"/>
      <c r="G7" s="4"/>
      <c r="H7" s="4"/>
      <c r="I7" s="4"/>
      <c r="J7" s="4"/>
      <c r="K7" s="4"/>
      <c r="L7" s="4"/>
      <c r="M7" s="4"/>
      <c r="N7" s="20"/>
    </row>
    <row r="8" spans="1:14">
      <c r="A8" s="313"/>
      <c r="B8" s="316"/>
      <c r="C8" s="319"/>
      <c r="D8" s="4"/>
      <c r="E8" s="4"/>
      <c r="F8" s="4"/>
      <c r="G8" s="4"/>
      <c r="H8" s="4"/>
      <c r="I8" s="4"/>
      <c r="J8" s="4"/>
      <c r="K8" s="4"/>
      <c r="L8" s="4"/>
      <c r="M8" s="4"/>
      <c r="N8" s="20"/>
    </row>
    <row r="9" spans="1:14" ht="15" thickBot="1">
      <c r="A9" s="314"/>
      <c r="B9" s="317"/>
      <c r="C9" s="320"/>
      <c r="D9" s="21"/>
      <c r="E9" s="21"/>
      <c r="F9" s="21"/>
      <c r="G9" s="21"/>
      <c r="H9" s="21"/>
      <c r="I9" s="21"/>
      <c r="J9" s="21"/>
      <c r="K9" s="21"/>
      <c r="L9" s="21"/>
      <c r="M9" s="21"/>
      <c r="N9" s="22"/>
    </row>
    <row r="10" spans="1:14">
      <c r="A10" s="312" t="e">
        <f>IF('Lay out'!#REF!="","",'Lay out'!#REF!)</f>
        <v>#REF!</v>
      </c>
      <c r="B10" s="315"/>
      <c r="C10" s="3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4">
      <c r="A11" s="313"/>
      <c r="B11" s="316"/>
      <c r="C11" s="319"/>
      <c r="D11" s="4"/>
      <c r="E11" s="4"/>
      <c r="F11" s="4"/>
      <c r="G11" s="4"/>
      <c r="H11" s="4"/>
      <c r="I11" s="4"/>
      <c r="J11" s="4"/>
      <c r="K11" s="4"/>
      <c r="L11" s="4"/>
      <c r="M11" s="4"/>
      <c r="N11" s="20"/>
    </row>
    <row r="12" spans="1:14">
      <c r="A12" s="313"/>
      <c r="B12" s="316"/>
      <c r="C12" s="319"/>
      <c r="D12" s="4"/>
      <c r="E12" s="4"/>
      <c r="F12" s="4"/>
      <c r="G12" s="4"/>
      <c r="H12" s="4"/>
      <c r="I12" s="4"/>
      <c r="J12" s="4"/>
      <c r="K12" s="4"/>
      <c r="L12" s="4"/>
      <c r="M12" s="4"/>
      <c r="N12" s="20"/>
    </row>
    <row r="13" spans="1:14">
      <c r="A13" s="313"/>
      <c r="B13" s="316"/>
      <c r="C13" s="319"/>
      <c r="D13" s="4"/>
      <c r="E13" s="4"/>
      <c r="F13" s="4"/>
      <c r="G13" s="4"/>
      <c r="H13" s="4"/>
      <c r="I13" s="4"/>
      <c r="J13" s="4"/>
      <c r="K13" s="4"/>
      <c r="L13" s="4"/>
      <c r="M13" s="4"/>
      <c r="N13" s="20"/>
    </row>
    <row r="14" spans="1:14" ht="15" thickBot="1">
      <c r="A14" s="314"/>
      <c r="B14" s="317"/>
      <c r="C14" s="3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</row>
    <row r="15" spans="1:14">
      <c r="A15" s="312">
        <f>'Lay out'!A156</f>
        <v>0</v>
      </c>
      <c r="B15" s="315"/>
      <c r="C15" s="3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>
      <c r="A16" s="313"/>
      <c r="B16" s="316"/>
      <c r="C16" s="319"/>
      <c r="D16" s="4"/>
      <c r="E16" s="4"/>
      <c r="F16" s="4"/>
      <c r="G16" s="4"/>
      <c r="H16" s="4"/>
      <c r="I16" s="4"/>
      <c r="J16" s="4"/>
      <c r="K16" s="4"/>
      <c r="L16" s="4"/>
      <c r="M16" s="4"/>
      <c r="N16" s="20"/>
    </row>
    <row r="17" spans="1:14">
      <c r="A17" s="313"/>
      <c r="B17" s="316"/>
      <c r="C17" s="319"/>
      <c r="D17" s="4"/>
      <c r="E17" s="4"/>
      <c r="F17" s="4"/>
      <c r="G17" s="4"/>
      <c r="H17" s="4"/>
      <c r="I17" s="4"/>
      <c r="J17" s="4"/>
      <c r="K17" s="4"/>
      <c r="L17" s="4"/>
      <c r="M17" s="4"/>
      <c r="N17" s="20"/>
    </row>
    <row r="18" spans="1:14">
      <c r="A18" s="313"/>
      <c r="B18" s="316"/>
      <c r="C18" s="319"/>
      <c r="D18" s="4"/>
      <c r="E18" s="4"/>
      <c r="F18" s="4"/>
      <c r="G18" s="4"/>
      <c r="H18" s="4"/>
      <c r="I18" s="4"/>
      <c r="J18" s="4"/>
      <c r="K18" s="4"/>
      <c r="L18" s="4"/>
      <c r="M18" s="4"/>
      <c r="N18" s="20"/>
    </row>
    <row r="19" spans="1:14" ht="15" thickBot="1">
      <c r="A19" s="314"/>
      <c r="B19" s="317"/>
      <c r="C19" s="3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</row>
    <row r="20" spans="1:14">
      <c r="A20" s="312">
        <f>'Lay out'!W156</f>
        <v>0</v>
      </c>
      <c r="B20" s="315"/>
      <c r="C20" s="3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spans="1:14">
      <c r="A21" s="313"/>
      <c r="B21" s="316"/>
      <c r="C21" s="319"/>
      <c r="D21" s="4"/>
      <c r="E21" s="4"/>
      <c r="F21" s="4"/>
      <c r="G21" s="4"/>
      <c r="H21" s="4"/>
      <c r="I21" s="4"/>
      <c r="J21" s="4"/>
      <c r="K21" s="4"/>
      <c r="L21" s="4"/>
      <c r="M21" s="4"/>
      <c r="N21" s="20"/>
    </row>
    <row r="22" spans="1:14">
      <c r="A22" s="313"/>
      <c r="B22" s="316"/>
      <c r="C22" s="319"/>
      <c r="D22" s="4"/>
      <c r="E22" s="4"/>
      <c r="F22" s="4"/>
      <c r="G22" s="4"/>
      <c r="H22" s="4"/>
      <c r="I22" s="4"/>
      <c r="J22" s="4"/>
      <c r="K22" s="4"/>
      <c r="L22" s="4"/>
      <c r="M22" s="4"/>
      <c r="N22" s="20"/>
    </row>
    <row r="23" spans="1:14">
      <c r="A23" s="313"/>
      <c r="B23" s="316"/>
      <c r="C23" s="319"/>
      <c r="D23" s="4"/>
      <c r="E23" s="4"/>
      <c r="F23" s="4"/>
      <c r="G23" s="4"/>
      <c r="H23" s="4"/>
      <c r="I23" s="4"/>
      <c r="J23" s="4"/>
      <c r="K23" s="4"/>
      <c r="L23" s="4"/>
      <c r="M23" s="4"/>
      <c r="N23" s="20"/>
    </row>
    <row r="24" spans="1:14" ht="15" thickBot="1">
      <c r="A24" s="314"/>
      <c r="B24" s="317"/>
      <c r="C24" s="3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</row>
    <row r="25" spans="1:14">
      <c r="A25" s="312">
        <f>'Lay out'!A149</f>
        <v>0</v>
      </c>
      <c r="B25" s="315"/>
      <c r="C25" s="3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</row>
    <row r="26" spans="1:14">
      <c r="A26" s="313"/>
      <c r="B26" s="316"/>
      <c r="C26" s="319"/>
      <c r="D26" s="4"/>
      <c r="E26" s="4"/>
      <c r="F26" s="4"/>
      <c r="G26" s="4"/>
      <c r="H26" s="4"/>
      <c r="I26" s="4"/>
      <c r="J26" s="4"/>
      <c r="K26" s="4"/>
      <c r="L26" s="4"/>
      <c r="M26" s="4"/>
      <c r="N26" s="20"/>
    </row>
    <row r="27" spans="1:14">
      <c r="A27" s="313"/>
      <c r="B27" s="316"/>
      <c r="C27" s="319"/>
      <c r="D27" s="4"/>
      <c r="E27" s="4"/>
      <c r="F27" s="4"/>
      <c r="G27" s="4"/>
      <c r="H27" s="4"/>
      <c r="I27" s="4"/>
      <c r="J27" s="4"/>
      <c r="K27" s="4"/>
      <c r="L27" s="4"/>
      <c r="M27" s="4"/>
      <c r="N27" s="20"/>
    </row>
    <row r="28" spans="1:14">
      <c r="A28" s="313"/>
      <c r="B28" s="316"/>
      <c r="C28" s="319"/>
      <c r="D28" s="4"/>
      <c r="E28" s="4"/>
      <c r="F28" s="4"/>
      <c r="G28" s="4"/>
      <c r="H28" s="4"/>
      <c r="I28" s="4"/>
      <c r="J28" s="4"/>
      <c r="K28" s="4"/>
      <c r="L28" s="4"/>
      <c r="M28" s="4"/>
      <c r="N28" s="20"/>
    </row>
    <row r="29" spans="1:14" ht="15" thickBot="1">
      <c r="A29" s="314"/>
      <c r="B29" s="317"/>
      <c r="C29" s="3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>
      <c r="A30" s="312">
        <f>'Lay out'!W149</f>
        <v>0</v>
      </c>
      <c r="B30" s="315"/>
      <c r="C30" s="3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</row>
    <row r="31" spans="1:14">
      <c r="A31" s="313"/>
      <c r="B31" s="316"/>
      <c r="C31" s="319"/>
      <c r="D31" s="4"/>
      <c r="E31" s="4"/>
      <c r="F31" s="4"/>
      <c r="G31" s="4"/>
      <c r="H31" s="4"/>
      <c r="I31" s="4"/>
      <c r="J31" s="4"/>
      <c r="K31" s="4"/>
      <c r="L31" s="4"/>
      <c r="M31" s="4"/>
      <c r="N31" s="20"/>
    </row>
    <row r="32" spans="1:14">
      <c r="A32" s="313"/>
      <c r="B32" s="316"/>
      <c r="C32" s="319"/>
      <c r="D32" s="4"/>
      <c r="E32" s="4"/>
      <c r="F32" s="4"/>
      <c r="G32" s="4"/>
      <c r="H32" s="4"/>
      <c r="I32" s="4"/>
      <c r="J32" s="4"/>
      <c r="K32" s="4"/>
      <c r="L32" s="4"/>
      <c r="M32" s="4"/>
      <c r="N32" s="20"/>
    </row>
    <row r="33" spans="1:14">
      <c r="A33" s="313"/>
      <c r="B33" s="316"/>
      <c r="C33" s="319"/>
      <c r="D33" s="4"/>
      <c r="E33" s="4"/>
      <c r="F33" s="4"/>
      <c r="G33" s="4"/>
      <c r="H33" s="4"/>
      <c r="I33" s="4"/>
      <c r="J33" s="4"/>
      <c r="K33" s="4"/>
      <c r="L33" s="4"/>
      <c r="M33" s="4"/>
      <c r="N33" s="20"/>
    </row>
    <row r="34" spans="1:14" ht="15" thickBot="1">
      <c r="A34" s="314"/>
      <c r="B34" s="317"/>
      <c r="C34" s="3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2"/>
    </row>
    <row r="35" spans="1:14">
      <c r="A35" s="312">
        <f>'Lay out'!A142</f>
        <v>0</v>
      </c>
      <c r="B35" s="315"/>
      <c r="C35" s="3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9"/>
    </row>
    <row r="36" spans="1:14">
      <c r="A36" s="313"/>
      <c r="B36" s="316"/>
      <c r="C36" s="319"/>
      <c r="D36" s="4"/>
      <c r="E36" s="4"/>
      <c r="F36" s="4"/>
      <c r="G36" s="4"/>
      <c r="H36" s="4"/>
      <c r="I36" s="4"/>
      <c r="J36" s="4"/>
      <c r="K36" s="4"/>
      <c r="L36" s="4"/>
      <c r="M36" s="4"/>
      <c r="N36" s="20"/>
    </row>
    <row r="37" spans="1:14">
      <c r="A37" s="313"/>
      <c r="B37" s="316"/>
      <c r="C37" s="319"/>
      <c r="D37" s="4"/>
      <c r="E37" s="4"/>
      <c r="F37" s="4"/>
      <c r="G37" s="4"/>
      <c r="H37" s="4"/>
      <c r="I37" s="4"/>
      <c r="J37" s="4"/>
      <c r="K37" s="4"/>
      <c r="L37" s="4"/>
      <c r="M37" s="4"/>
      <c r="N37" s="20"/>
    </row>
    <row r="38" spans="1:14">
      <c r="A38" s="313"/>
      <c r="B38" s="316"/>
      <c r="C38" s="319"/>
      <c r="D38" s="4"/>
      <c r="E38" s="4"/>
      <c r="F38" s="4"/>
      <c r="G38" s="4"/>
      <c r="H38" s="4"/>
      <c r="I38" s="4"/>
      <c r="J38" s="4"/>
      <c r="K38" s="4"/>
      <c r="L38" s="4"/>
      <c r="M38" s="4"/>
      <c r="N38" s="20"/>
    </row>
    <row r="39" spans="1:14" ht="15" thickBot="1">
      <c r="A39" s="314"/>
      <c r="B39" s="317"/>
      <c r="C39" s="3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2"/>
    </row>
    <row r="40" spans="1:14">
      <c r="A40" s="312">
        <f>'Lay out'!W142</f>
        <v>0</v>
      </c>
      <c r="B40" s="315"/>
      <c r="C40" s="3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</row>
    <row r="41" spans="1:14">
      <c r="A41" s="313"/>
      <c r="B41" s="316"/>
      <c r="C41" s="319"/>
      <c r="D41" s="4"/>
      <c r="E41" s="4"/>
      <c r="F41" s="4"/>
      <c r="G41" s="4"/>
      <c r="H41" s="4"/>
      <c r="I41" s="4"/>
      <c r="J41" s="4"/>
      <c r="K41" s="4"/>
      <c r="L41" s="4"/>
      <c r="M41" s="4"/>
      <c r="N41" s="20"/>
    </row>
    <row r="42" spans="1:14">
      <c r="A42" s="313"/>
      <c r="B42" s="316"/>
      <c r="C42" s="319"/>
      <c r="D42" s="4"/>
      <c r="E42" s="4"/>
      <c r="F42" s="4"/>
      <c r="G42" s="4"/>
      <c r="H42" s="4"/>
      <c r="I42" s="4"/>
      <c r="J42" s="4"/>
      <c r="K42" s="4"/>
      <c r="L42" s="4"/>
      <c r="M42" s="4"/>
      <c r="N42" s="20"/>
    </row>
    <row r="43" spans="1:14">
      <c r="A43" s="313"/>
      <c r="B43" s="316"/>
      <c r="C43" s="319"/>
      <c r="D43" s="4"/>
      <c r="E43" s="4"/>
      <c r="F43" s="4"/>
      <c r="G43" s="4"/>
      <c r="H43" s="4"/>
      <c r="I43" s="4"/>
      <c r="J43" s="4"/>
      <c r="K43" s="4"/>
      <c r="L43" s="4"/>
      <c r="M43" s="4"/>
      <c r="N43" s="20"/>
    </row>
    <row r="44" spans="1:14" ht="15" thickBot="1">
      <c r="A44" s="314"/>
      <c r="B44" s="317"/>
      <c r="C44" s="3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2"/>
    </row>
    <row r="45" spans="1:14">
      <c r="A45" s="312">
        <f>'Lay out'!A135</f>
        <v>0</v>
      </c>
      <c r="B45" s="315"/>
      <c r="C45" s="3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6" spans="1:14">
      <c r="A46" s="313"/>
      <c r="B46" s="316"/>
      <c r="C46" s="319"/>
      <c r="D46" s="4"/>
      <c r="E46" s="4"/>
      <c r="F46" s="4"/>
      <c r="G46" s="4"/>
      <c r="H46" s="4"/>
      <c r="I46" s="4"/>
      <c r="J46" s="4"/>
      <c r="K46" s="4"/>
      <c r="L46" s="4"/>
      <c r="M46" s="4"/>
      <c r="N46" s="20"/>
    </row>
    <row r="47" spans="1:14">
      <c r="A47" s="313"/>
      <c r="B47" s="316"/>
      <c r="C47" s="319"/>
      <c r="D47" s="4"/>
      <c r="E47" s="4"/>
      <c r="F47" s="4"/>
      <c r="G47" s="4"/>
      <c r="H47" s="4"/>
      <c r="I47" s="4"/>
      <c r="J47" s="4"/>
      <c r="K47" s="4"/>
      <c r="L47" s="4"/>
      <c r="M47" s="4"/>
      <c r="N47" s="20"/>
    </row>
    <row r="48" spans="1:14">
      <c r="A48" s="313"/>
      <c r="B48" s="316"/>
      <c r="C48" s="319"/>
      <c r="D48" s="4"/>
      <c r="E48" s="4"/>
      <c r="F48" s="4"/>
      <c r="G48" s="4"/>
      <c r="H48" s="4"/>
      <c r="I48" s="4"/>
      <c r="J48" s="4"/>
      <c r="K48" s="4"/>
      <c r="L48" s="4"/>
      <c r="M48" s="4"/>
      <c r="N48" s="20"/>
    </row>
    <row r="49" spans="1:14" ht="15" thickBot="1">
      <c r="A49" s="314"/>
      <c r="B49" s="317"/>
      <c r="C49" s="3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>
      <c r="A50" s="312">
        <f>'Lay out'!W135</f>
        <v>0</v>
      </c>
      <c r="B50" s="315"/>
      <c r="C50" s="3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/>
    </row>
    <row r="51" spans="1:14">
      <c r="A51" s="313"/>
      <c r="B51" s="316"/>
      <c r="C51" s="319"/>
      <c r="D51" s="4"/>
      <c r="E51" s="4"/>
      <c r="F51" s="4"/>
      <c r="G51" s="4"/>
      <c r="H51" s="4"/>
      <c r="I51" s="4"/>
      <c r="J51" s="4"/>
      <c r="K51" s="4"/>
      <c r="L51" s="4"/>
      <c r="M51" s="4"/>
      <c r="N51" s="20"/>
    </row>
    <row r="52" spans="1:14">
      <c r="A52" s="313"/>
      <c r="B52" s="316"/>
      <c r="C52" s="319"/>
      <c r="D52" s="4"/>
      <c r="E52" s="4"/>
      <c r="F52" s="4"/>
      <c r="G52" s="4"/>
      <c r="H52" s="4"/>
      <c r="I52" s="4"/>
      <c r="J52" s="4"/>
      <c r="K52" s="4"/>
      <c r="L52" s="4"/>
      <c r="M52" s="4"/>
      <c r="N52" s="20"/>
    </row>
    <row r="53" spans="1:14">
      <c r="A53" s="313"/>
      <c r="B53" s="316"/>
      <c r="C53" s="319"/>
      <c r="D53" s="4"/>
      <c r="E53" s="4"/>
      <c r="F53" s="4"/>
      <c r="G53" s="4"/>
      <c r="H53" s="4"/>
      <c r="I53" s="4"/>
      <c r="J53" s="4"/>
      <c r="K53" s="4"/>
      <c r="L53" s="4"/>
      <c r="M53" s="4"/>
      <c r="N53" s="20"/>
    </row>
    <row r="54" spans="1:14" ht="15" thickBot="1">
      <c r="A54" s="314"/>
      <c r="B54" s="317"/>
      <c r="C54" s="3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>
      <c r="A55" s="312">
        <f>'Lay out'!A128</f>
        <v>0</v>
      </c>
      <c r="B55" s="315"/>
      <c r="C55" s="3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9"/>
    </row>
    <row r="56" spans="1:14">
      <c r="A56" s="313"/>
      <c r="B56" s="316"/>
      <c r="C56" s="319"/>
      <c r="D56" s="4"/>
      <c r="E56" s="4"/>
      <c r="F56" s="4"/>
      <c r="G56" s="4"/>
      <c r="H56" s="4"/>
      <c r="I56" s="4"/>
      <c r="J56" s="4"/>
      <c r="K56" s="4"/>
      <c r="L56" s="4"/>
      <c r="M56" s="4"/>
      <c r="N56" s="20"/>
    </row>
    <row r="57" spans="1:14">
      <c r="A57" s="313"/>
      <c r="B57" s="316"/>
      <c r="C57" s="319"/>
      <c r="D57" s="4"/>
      <c r="E57" s="4"/>
      <c r="F57" s="4"/>
      <c r="G57" s="4"/>
      <c r="H57" s="4"/>
      <c r="I57" s="4"/>
      <c r="J57" s="4"/>
      <c r="K57" s="4"/>
      <c r="L57" s="4"/>
      <c r="M57" s="4"/>
      <c r="N57" s="20"/>
    </row>
    <row r="58" spans="1:14">
      <c r="A58" s="313"/>
      <c r="B58" s="316"/>
      <c r="C58" s="319"/>
      <c r="D58" s="4"/>
      <c r="E58" s="4"/>
      <c r="F58" s="4"/>
      <c r="G58" s="4"/>
      <c r="H58" s="4"/>
      <c r="I58" s="4"/>
      <c r="J58" s="4"/>
      <c r="K58" s="4"/>
      <c r="L58" s="4"/>
      <c r="M58" s="4"/>
      <c r="N58" s="20"/>
    </row>
    <row r="59" spans="1:14" ht="15" thickBot="1">
      <c r="A59" s="314"/>
      <c r="B59" s="317"/>
      <c r="C59" s="3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1:14">
      <c r="A60" s="312">
        <f>'Lay out'!W128</f>
        <v>0</v>
      </c>
      <c r="B60" s="315"/>
      <c r="C60" s="3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9"/>
    </row>
    <row r="61" spans="1:14">
      <c r="A61" s="313"/>
      <c r="B61" s="316"/>
      <c r="C61" s="319"/>
      <c r="D61" s="4"/>
      <c r="E61" s="4"/>
      <c r="F61" s="4"/>
      <c r="G61" s="4"/>
      <c r="H61" s="4"/>
      <c r="I61" s="4"/>
      <c r="J61" s="4"/>
      <c r="K61" s="4"/>
      <c r="L61" s="4"/>
      <c r="M61" s="4"/>
      <c r="N61" s="20"/>
    </row>
    <row r="62" spans="1:14">
      <c r="A62" s="313"/>
      <c r="B62" s="316"/>
      <c r="C62" s="319"/>
      <c r="D62" s="4"/>
      <c r="E62" s="4"/>
      <c r="F62" s="4"/>
      <c r="G62" s="4"/>
      <c r="H62" s="4"/>
      <c r="I62" s="4"/>
      <c r="J62" s="4"/>
      <c r="K62" s="4"/>
      <c r="L62" s="4"/>
      <c r="M62" s="4"/>
      <c r="N62" s="20"/>
    </row>
    <row r="63" spans="1:14">
      <c r="A63" s="313"/>
      <c r="B63" s="316"/>
      <c r="C63" s="319"/>
      <c r="D63" s="4"/>
      <c r="E63" s="4"/>
      <c r="F63" s="4"/>
      <c r="G63" s="4"/>
      <c r="H63" s="4"/>
      <c r="I63" s="4"/>
      <c r="J63" s="4"/>
      <c r="K63" s="4"/>
      <c r="L63" s="4"/>
      <c r="M63" s="4"/>
      <c r="N63" s="20"/>
    </row>
    <row r="64" spans="1:14" ht="15" thickBot="1">
      <c r="A64" s="314"/>
      <c r="B64" s="317"/>
      <c r="C64" s="3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spans="1:14">
      <c r="A65" s="312" t="str">
        <f>IF('Lay out'!A217="","",'Lay out'!A217)</f>
        <v/>
      </c>
      <c r="B65" s="315"/>
      <c r="C65" s="3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</row>
    <row r="66" spans="1:14">
      <c r="A66" s="313"/>
      <c r="B66" s="316"/>
      <c r="C66" s="319"/>
      <c r="D66" s="4"/>
      <c r="E66" s="4"/>
      <c r="F66" s="4"/>
      <c r="G66" s="4"/>
      <c r="H66" s="4"/>
      <c r="I66" s="4"/>
      <c r="J66" s="4"/>
      <c r="K66" s="4"/>
      <c r="L66" s="4"/>
      <c r="M66" s="4"/>
      <c r="N66" s="20"/>
    </row>
    <row r="67" spans="1:14">
      <c r="A67" s="313"/>
      <c r="B67" s="316"/>
      <c r="C67" s="319"/>
      <c r="D67" s="4"/>
      <c r="E67" s="4"/>
      <c r="F67" s="4"/>
      <c r="G67" s="4"/>
      <c r="H67" s="4"/>
      <c r="I67" s="4"/>
      <c r="J67" s="4"/>
      <c r="K67" s="4"/>
      <c r="L67" s="4"/>
      <c r="M67" s="4"/>
      <c r="N67" s="20"/>
    </row>
    <row r="68" spans="1:14">
      <c r="A68" s="313"/>
      <c r="B68" s="316"/>
      <c r="C68" s="319"/>
      <c r="D68" s="4"/>
      <c r="E68" s="4"/>
      <c r="F68" s="4"/>
      <c r="G68" s="4"/>
      <c r="H68" s="4"/>
      <c r="I68" s="4"/>
      <c r="J68" s="4"/>
      <c r="K68" s="4"/>
      <c r="L68" s="4"/>
      <c r="M68" s="4"/>
      <c r="N68" s="20"/>
    </row>
    <row r="69" spans="1:14" ht="15" thickBot="1">
      <c r="A69" s="314"/>
      <c r="B69" s="317"/>
      <c r="C69" s="320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1:14">
      <c r="A70" s="312" t="str">
        <f>IF('Lay out'!A222="","",'Lay out'!A222)</f>
        <v/>
      </c>
      <c r="B70" s="315"/>
      <c r="C70" s="3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9"/>
    </row>
    <row r="71" spans="1:14">
      <c r="A71" s="313"/>
      <c r="B71" s="316"/>
      <c r="C71" s="319"/>
      <c r="D71" s="4"/>
      <c r="E71" s="4"/>
      <c r="F71" s="4"/>
      <c r="G71" s="4"/>
      <c r="H71" s="4"/>
      <c r="I71" s="4"/>
      <c r="J71" s="4"/>
      <c r="K71" s="4"/>
      <c r="L71" s="4"/>
      <c r="M71" s="4"/>
      <c r="N71" s="20"/>
    </row>
    <row r="72" spans="1:14">
      <c r="A72" s="313"/>
      <c r="B72" s="316"/>
      <c r="C72" s="319"/>
      <c r="D72" s="4"/>
      <c r="E72" s="4"/>
      <c r="F72" s="4"/>
      <c r="G72" s="4"/>
      <c r="H72" s="4"/>
      <c r="I72" s="4"/>
      <c r="J72" s="4"/>
      <c r="K72" s="4"/>
      <c r="L72" s="4"/>
      <c r="M72" s="4"/>
      <c r="N72" s="20"/>
    </row>
    <row r="73" spans="1:14">
      <c r="A73" s="313"/>
      <c r="B73" s="316"/>
      <c r="C73" s="319"/>
      <c r="D73" s="4"/>
      <c r="E73" s="4"/>
      <c r="F73" s="4"/>
      <c r="G73" s="4"/>
      <c r="H73" s="4"/>
      <c r="I73" s="4"/>
      <c r="J73" s="4"/>
      <c r="K73" s="4"/>
      <c r="L73" s="4"/>
      <c r="M73" s="4"/>
      <c r="N73" s="20"/>
    </row>
    <row r="74" spans="1:14" ht="15" thickBot="1">
      <c r="A74" s="314"/>
      <c r="B74" s="317"/>
      <c r="C74" s="3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>
      <c r="A75" s="312" t="str">
        <f>IF('Lay out'!A227="","",'Lay out'!A227)</f>
        <v/>
      </c>
      <c r="B75" s="315"/>
      <c r="C75" s="3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9"/>
    </row>
    <row r="76" spans="1:14">
      <c r="A76" s="313"/>
      <c r="B76" s="316"/>
      <c r="C76" s="319"/>
      <c r="D76" s="4"/>
      <c r="E76" s="4"/>
      <c r="F76" s="4"/>
      <c r="G76" s="4"/>
      <c r="H76" s="4"/>
      <c r="I76" s="4"/>
      <c r="J76" s="4"/>
      <c r="K76" s="4"/>
      <c r="L76" s="4"/>
      <c r="M76" s="4"/>
      <c r="N76" s="20"/>
    </row>
    <row r="77" spans="1:14">
      <c r="A77" s="313"/>
      <c r="B77" s="316"/>
      <c r="C77" s="319"/>
      <c r="D77" s="4"/>
      <c r="E77" s="4"/>
      <c r="F77" s="4"/>
      <c r="G77" s="4"/>
      <c r="H77" s="4"/>
      <c r="I77" s="4"/>
      <c r="J77" s="4"/>
      <c r="K77" s="4"/>
      <c r="L77" s="4"/>
      <c r="M77" s="4"/>
      <c r="N77" s="20"/>
    </row>
    <row r="78" spans="1:14">
      <c r="A78" s="313"/>
      <c r="B78" s="316"/>
      <c r="C78" s="319"/>
      <c r="D78" s="4"/>
      <c r="E78" s="4"/>
      <c r="F78" s="4"/>
      <c r="G78" s="4"/>
      <c r="H78" s="4"/>
      <c r="I78" s="4"/>
      <c r="J78" s="4"/>
      <c r="K78" s="4"/>
      <c r="L78" s="4"/>
      <c r="M78" s="4"/>
      <c r="N78" s="20"/>
    </row>
    <row r="79" spans="1:14" ht="15" thickBot="1">
      <c r="A79" s="314"/>
      <c r="B79" s="317"/>
      <c r="C79" s="320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</row>
    <row r="80" spans="1:14">
      <c r="A80" s="312" t="str">
        <f>IF('Lay out'!A232="","",'Lay out'!A232)</f>
        <v/>
      </c>
      <c r="B80" s="315"/>
      <c r="C80" s="3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9"/>
    </row>
    <row r="81" spans="1:14">
      <c r="A81" s="313"/>
      <c r="B81" s="316"/>
      <c r="C81" s="319"/>
      <c r="D81" s="4"/>
      <c r="E81" s="4"/>
      <c r="F81" s="4"/>
      <c r="G81" s="4"/>
      <c r="H81" s="4"/>
      <c r="I81" s="4"/>
      <c r="J81" s="4"/>
      <c r="K81" s="4"/>
      <c r="L81" s="4"/>
      <c r="M81" s="4"/>
      <c r="N81" s="20"/>
    </row>
    <row r="82" spans="1:14">
      <c r="A82" s="313"/>
      <c r="B82" s="316"/>
      <c r="C82" s="319"/>
      <c r="D82" s="4"/>
      <c r="E82" s="4"/>
      <c r="F82" s="4"/>
      <c r="G82" s="4"/>
      <c r="H82" s="4"/>
      <c r="I82" s="4"/>
      <c r="J82" s="4"/>
      <c r="K82" s="4"/>
      <c r="L82" s="4"/>
      <c r="M82" s="4"/>
      <c r="N82" s="20"/>
    </row>
    <row r="83" spans="1:14">
      <c r="A83" s="313"/>
      <c r="B83" s="316"/>
      <c r="C83" s="319"/>
      <c r="D83" s="4"/>
      <c r="E83" s="4"/>
      <c r="F83" s="4"/>
      <c r="G83" s="4"/>
      <c r="H83" s="4"/>
      <c r="I83" s="4"/>
      <c r="J83" s="4"/>
      <c r="K83" s="4"/>
      <c r="L83" s="4"/>
      <c r="M83" s="4"/>
      <c r="N83" s="20"/>
    </row>
    <row r="84" spans="1:14" ht="15" thickBot="1">
      <c r="A84" s="314"/>
      <c r="B84" s="317"/>
      <c r="C84" s="3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</row>
    <row r="85" spans="1:14">
      <c r="A85" s="312" t="str">
        <f>IF('Lay out'!A237="","",'Lay out'!A237)</f>
        <v/>
      </c>
      <c r="B85" s="315"/>
      <c r="C85" s="3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9"/>
    </row>
    <row r="86" spans="1:14">
      <c r="A86" s="313"/>
      <c r="B86" s="316"/>
      <c r="C86" s="319"/>
      <c r="D86" s="4"/>
      <c r="E86" s="4"/>
      <c r="F86" s="4"/>
      <c r="G86" s="4"/>
      <c r="H86" s="4"/>
      <c r="I86" s="4"/>
      <c r="J86" s="4"/>
      <c r="K86" s="4"/>
      <c r="L86" s="4"/>
      <c r="M86" s="4"/>
      <c r="N86" s="20"/>
    </row>
    <row r="87" spans="1:14">
      <c r="A87" s="313"/>
      <c r="B87" s="316"/>
      <c r="C87" s="319"/>
      <c r="D87" s="4"/>
      <c r="E87" s="4"/>
      <c r="F87" s="4"/>
      <c r="G87" s="4"/>
      <c r="H87" s="4"/>
      <c r="I87" s="4"/>
      <c r="J87" s="4"/>
      <c r="K87" s="4"/>
      <c r="L87" s="4"/>
      <c r="M87" s="4"/>
      <c r="N87" s="20"/>
    </row>
    <row r="88" spans="1:14">
      <c r="A88" s="313"/>
      <c r="B88" s="316"/>
      <c r="C88" s="319"/>
      <c r="D88" s="4"/>
      <c r="E88" s="4"/>
      <c r="F88" s="4"/>
      <c r="G88" s="4"/>
      <c r="H88" s="4"/>
      <c r="I88" s="4"/>
      <c r="J88" s="4"/>
      <c r="K88" s="4"/>
      <c r="L88" s="4"/>
      <c r="M88" s="4"/>
      <c r="N88" s="20"/>
    </row>
    <row r="89" spans="1:14" ht="15" thickBot="1">
      <c r="A89" s="314"/>
      <c r="B89" s="317"/>
      <c r="C89" s="320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</row>
    <row r="90" spans="1:14">
      <c r="A90" s="312" t="str">
        <f>IF('Lay out'!A242="","",'Lay out'!A242)</f>
        <v/>
      </c>
      <c r="B90" s="315"/>
      <c r="C90" s="3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9"/>
    </row>
    <row r="91" spans="1:14">
      <c r="A91" s="313"/>
      <c r="B91" s="316"/>
      <c r="C91" s="319"/>
      <c r="D91" s="4"/>
      <c r="E91" s="4"/>
      <c r="F91" s="4"/>
      <c r="G91" s="4"/>
      <c r="H91" s="4"/>
      <c r="I91" s="4"/>
      <c r="J91" s="4"/>
      <c r="K91" s="4"/>
      <c r="L91" s="4"/>
      <c r="M91" s="4"/>
      <c r="N91" s="20"/>
    </row>
    <row r="92" spans="1:14">
      <c r="A92" s="313"/>
      <c r="B92" s="316"/>
      <c r="C92" s="319"/>
      <c r="D92" s="4"/>
      <c r="E92" s="4"/>
      <c r="F92" s="4"/>
      <c r="G92" s="4"/>
      <c r="H92" s="4"/>
      <c r="I92" s="4"/>
      <c r="J92" s="4"/>
      <c r="K92" s="4"/>
      <c r="L92" s="4"/>
      <c r="M92" s="4"/>
      <c r="N92" s="20"/>
    </row>
    <row r="93" spans="1:14">
      <c r="A93" s="313"/>
      <c r="B93" s="316"/>
      <c r="C93" s="319"/>
      <c r="D93" s="4"/>
      <c r="E93" s="4"/>
      <c r="F93" s="4"/>
      <c r="G93" s="4"/>
      <c r="H93" s="4"/>
      <c r="I93" s="4"/>
      <c r="J93" s="4"/>
      <c r="K93" s="4"/>
      <c r="L93" s="4"/>
      <c r="M93" s="4"/>
      <c r="N93" s="20"/>
    </row>
    <row r="94" spans="1:14" ht="15" thickBot="1">
      <c r="A94" s="314"/>
      <c r="B94" s="317"/>
      <c r="C94" s="3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</row>
    <row r="95" spans="1:14">
      <c r="A95" s="312" t="str">
        <f>IF('Lay out'!A247="","",'Lay out'!A247)</f>
        <v/>
      </c>
      <c r="B95" s="315"/>
      <c r="C95" s="3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9"/>
    </row>
    <row r="96" spans="1:14">
      <c r="A96" s="313"/>
      <c r="B96" s="316"/>
      <c r="C96" s="319"/>
      <c r="D96" s="4"/>
      <c r="E96" s="4"/>
      <c r="F96" s="4"/>
      <c r="G96" s="4"/>
      <c r="H96" s="4"/>
      <c r="I96" s="4"/>
      <c r="J96" s="4"/>
      <c r="K96" s="4"/>
      <c r="L96" s="4"/>
      <c r="M96" s="4"/>
      <c r="N96" s="20"/>
    </row>
    <row r="97" spans="1:14">
      <c r="A97" s="313"/>
      <c r="B97" s="316"/>
      <c r="C97" s="319"/>
      <c r="D97" s="4"/>
      <c r="E97" s="4"/>
      <c r="F97" s="4"/>
      <c r="G97" s="4"/>
      <c r="H97" s="4"/>
      <c r="I97" s="4"/>
      <c r="J97" s="4"/>
      <c r="K97" s="4"/>
      <c r="L97" s="4"/>
      <c r="M97" s="4"/>
      <c r="N97" s="20"/>
    </row>
    <row r="98" spans="1:14">
      <c r="A98" s="313"/>
      <c r="B98" s="316"/>
      <c r="C98" s="319"/>
      <c r="D98" s="4"/>
      <c r="E98" s="4"/>
      <c r="F98" s="4"/>
      <c r="G98" s="4"/>
      <c r="H98" s="4"/>
      <c r="I98" s="4"/>
      <c r="J98" s="4"/>
      <c r="K98" s="4"/>
      <c r="L98" s="4"/>
      <c r="M98" s="4"/>
      <c r="N98" s="20"/>
    </row>
    <row r="99" spans="1:14" ht="15" thickBot="1">
      <c r="A99" s="314"/>
      <c r="B99" s="317"/>
      <c r="C99" s="320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</row>
    <row r="100" spans="1:14">
      <c r="A100" s="312" t="str">
        <f>IF('Lay out'!A252="","",'Lay out'!A252)</f>
        <v/>
      </c>
      <c r="B100" s="315"/>
      <c r="C100" s="3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9"/>
    </row>
    <row r="101" spans="1:14">
      <c r="A101" s="313"/>
      <c r="B101" s="316"/>
      <c r="C101" s="31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0"/>
    </row>
    <row r="102" spans="1:14">
      <c r="A102" s="313"/>
      <c r="B102" s="316"/>
      <c r="C102" s="31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0"/>
    </row>
    <row r="103" spans="1:14">
      <c r="A103" s="313"/>
      <c r="B103" s="316"/>
      <c r="C103" s="31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0"/>
    </row>
    <row r="104" spans="1:14" ht="15" thickBot="1">
      <c r="A104" s="314"/>
      <c r="B104" s="317"/>
      <c r="C104" s="320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</row>
    <row r="105" spans="1:14">
      <c r="A105" s="312" t="str">
        <f>IF('Lay out'!A257="","",'Lay out'!A257)</f>
        <v/>
      </c>
      <c r="B105" s="315"/>
      <c r="C105" s="3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9"/>
    </row>
    <row r="106" spans="1:14">
      <c r="A106" s="313"/>
      <c r="B106" s="316"/>
      <c r="C106" s="31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0"/>
    </row>
    <row r="107" spans="1:14">
      <c r="A107" s="313"/>
      <c r="B107" s="316"/>
      <c r="C107" s="31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0"/>
    </row>
    <row r="108" spans="1:14">
      <c r="A108" s="313"/>
      <c r="B108" s="316"/>
      <c r="C108" s="31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0"/>
    </row>
    <row r="109" spans="1:14" ht="15" thickBot="1">
      <c r="A109" s="314"/>
      <c r="B109" s="317"/>
      <c r="C109" s="3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</row>
    <row r="110" spans="1:14">
      <c r="A110" s="312" t="str">
        <f>IF('Lay out'!A262="","",'Lay out'!A262)</f>
        <v/>
      </c>
      <c r="B110" s="315"/>
      <c r="C110" s="3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9"/>
    </row>
    <row r="111" spans="1:14">
      <c r="A111" s="313"/>
      <c r="B111" s="316"/>
      <c r="C111" s="31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0"/>
    </row>
    <row r="112" spans="1:14">
      <c r="A112" s="313"/>
      <c r="B112" s="316"/>
      <c r="C112" s="31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0"/>
    </row>
    <row r="113" spans="1:14">
      <c r="A113" s="313"/>
      <c r="B113" s="316"/>
      <c r="C113" s="31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0"/>
    </row>
    <row r="114" spans="1:14" ht="15" thickBot="1">
      <c r="A114" s="314"/>
      <c r="B114" s="317"/>
      <c r="C114" s="32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</row>
    <row r="115" spans="1:14">
      <c r="A115" s="312" t="str">
        <f>IF('Lay out'!A267="","",'Lay out'!A267)</f>
        <v/>
      </c>
      <c r="B115" s="315"/>
      <c r="C115" s="3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9"/>
    </row>
    <row r="116" spans="1:14">
      <c r="A116" s="313"/>
      <c r="B116" s="316"/>
      <c r="C116" s="31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0"/>
    </row>
    <row r="117" spans="1:14">
      <c r="A117" s="313"/>
      <c r="B117" s="316"/>
      <c r="C117" s="31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0"/>
    </row>
    <row r="118" spans="1:14">
      <c r="A118" s="313"/>
      <c r="B118" s="316"/>
      <c r="C118" s="31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0"/>
    </row>
    <row r="119" spans="1:14" ht="15" thickBot="1">
      <c r="A119" s="314"/>
      <c r="B119" s="317"/>
      <c r="C119" s="3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</row>
    <row r="120" spans="1:14">
      <c r="A120" s="312" t="str">
        <f>IF('Lay out'!A272="","",'Lay out'!A272)</f>
        <v/>
      </c>
      <c r="B120" s="315"/>
      <c r="C120" s="3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9"/>
    </row>
    <row r="121" spans="1:14">
      <c r="A121" s="313"/>
      <c r="B121" s="316"/>
      <c r="C121" s="31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0"/>
    </row>
    <row r="122" spans="1:14">
      <c r="A122" s="313"/>
      <c r="B122" s="316"/>
      <c r="C122" s="31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0"/>
    </row>
    <row r="123" spans="1:14">
      <c r="A123" s="313"/>
      <c r="B123" s="316"/>
      <c r="C123" s="31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0"/>
    </row>
    <row r="124" spans="1:14" ht="15" thickBot="1">
      <c r="A124" s="314"/>
      <c r="B124" s="317"/>
      <c r="C124" s="320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</row>
    <row r="125" spans="1:14">
      <c r="A125" s="312" t="str">
        <f>IF('Lay out'!A277="","",'Lay out'!A277)</f>
        <v/>
      </c>
      <c r="B125" s="315"/>
      <c r="C125" s="3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9"/>
    </row>
    <row r="126" spans="1:14">
      <c r="A126" s="313"/>
      <c r="B126" s="316"/>
      <c r="C126" s="31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0"/>
    </row>
    <row r="127" spans="1:14">
      <c r="A127" s="313"/>
      <c r="B127" s="316"/>
      <c r="C127" s="31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0"/>
    </row>
    <row r="128" spans="1:14">
      <c r="A128" s="313"/>
      <c r="B128" s="316"/>
      <c r="C128" s="31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0"/>
    </row>
    <row r="129" spans="1:14" ht="15" thickBot="1">
      <c r="A129" s="314"/>
      <c r="B129" s="317"/>
      <c r="C129" s="32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</row>
    <row r="130" spans="1:14">
      <c r="A130" s="312" t="str">
        <f>IF('Lay out'!A282="","",'Lay out'!A282)</f>
        <v/>
      </c>
      <c r="B130" s="315"/>
      <c r="C130" s="3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9"/>
    </row>
    <row r="131" spans="1:14">
      <c r="A131" s="313"/>
      <c r="B131" s="316"/>
      <c r="C131" s="31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0"/>
    </row>
    <row r="132" spans="1:14">
      <c r="A132" s="313"/>
      <c r="B132" s="316"/>
      <c r="C132" s="31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0"/>
    </row>
    <row r="133" spans="1:14">
      <c r="A133" s="313"/>
      <c r="B133" s="316"/>
      <c r="C133" s="31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0"/>
    </row>
    <row r="134" spans="1:14" ht="15" thickBot="1">
      <c r="A134" s="314"/>
      <c r="B134" s="317"/>
      <c r="C134" s="3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</row>
    <row r="135" spans="1:14">
      <c r="A135" s="312" t="str">
        <f>IF('Lay out'!A287="","",'Lay out'!A287)</f>
        <v/>
      </c>
      <c r="B135" s="315"/>
      <c r="C135" s="3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9"/>
    </row>
    <row r="136" spans="1:14">
      <c r="A136" s="313"/>
      <c r="B136" s="316"/>
      <c r="C136" s="31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0"/>
    </row>
    <row r="137" spans="1:14">
      <c r="A137" s="313"/>
      <c r="B137" s="316"/>
      <c r="C137" s="31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0"/>
    </row>
    <row r="138" spans="1:14">
      <c r="A138" s="313"/>
      <c r="B138" s="316"/>
      <c r="C138" s="31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0"/>
    </row>
    <row r="139" spans="1:14" ht="15" thickBot="1">
      <c r="A139" s="314"/>
      <c r="B139" s="317"/>
      <c r="C139" s="3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</row>
    <row r="140" spans="1:14">
      <c r="A140" s="312" t="str">
        <f>IF('Lay out'!A292="","",'Lay out'!A292)</f>
        <v/>
      </c>
      <c r="B140" s="315"/>
      <c r="C140" s="3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9"/>
    </row>
    <row r="141" spans="1:14">
      <c r="A141" s="313"/>
      <c r="B141" s="316"/>
      <c r="C141" s="31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0"/>
    </row>
    <row r="142" spans="1:14">
      <c r="A142" s="313"/>
      <c r="B142" s="316"/>
      <c r="C142" s="31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0"/>
    </row>
    <row r="143" spans="1:14">
      <c r="A143" s="313"/>
      <c r="B143" s="316"/>
      <c r="C143" s="31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0"/>
    </row>
    <row r="144" spans="1:14" ht="15" thickBot="1">
      <c r="A144" s="314"/>
      <c r="B144" s="317"/>
      <c r="C144" s="3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</row>
    <row r="145" spans="1:14">
      <c r="A145" s="312" t="str">
        <f>IF('Lay out'!A297="","",'Lay out'!A297)</f>
        <v/>
      </c>
      <c r="B145" s="315"/>
      <c r="C145" s="3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9"/>
    </row>
    <row r="146" spans="1:14">
      <c r="A146" s="313"/>
      <c r="B146" s="316"/>
      <c r="C146" s="31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0"/>
    </row>
    <row r="147" spans="1:14">
      <c r="A147" s="313"/>
      <c r="B147" s="316"/>
      <c r="C147" s="31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0"/>
    </row>
    <row r="148" spans="1:14">
      <c r="A148" s="313"/>
      <c r="B148" s="316"/>
      <c r="C148" s="31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0"/>
    </row>
    <row r="149" spans="1:14" ht="15" thickBot="1">
      <c r="A149" s="314"/>
      <c r="B149" s="317"/>
      <c r="C149" s="320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</row>
    <row r="150" spans="1:14">
      <c r="A150" s="312" t="str">
        <f>IF('Lay out'!A302="","",'Lay out'!A302)</f>
        <v/>
      </c>
      <c r="B150" s="315"/>
      <c r="C150" s="3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9"/>
    </row>
    <row r="151" spans="1:14">
      <c r="A151" s="313"/>
      <c r="B151" s="316"/>
      <c r="C151" s="31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0"/>
    </row>
    <row r="152" spans="1:14">
      <c r="A152" s="313"/>
      <c r="B152" s="316"/>
      <c r="C152" s="31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0"/>
    </row>
    <row r="153" spans="1:14">
      <c r="A153" s="313"/>
      <c r="B153" s="316"/>
      <c r="C153" s="31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0"/>
    </row>
    <row r="154" spans="1:14" ht="15" thickBot="1">
      <c r="A154" s="314"/>
      <c r="B154" s="317"/>
      <c r="C154" s="3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</row>
    <row r="155" spans="1:14">
      <c r="A155" s="312" t="str">
        <f>IF('Lay out'!A307="","",'Lay out'!A307)</f>
        <v/>
      </c>
      <c r="B155" s="315"/>
      <c r="C155" s="3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9"/>
    </row>
    <row r="156" spans="1:14">
      <c r="A156" s="313"/>
      <c r="B156" s="316"/>
      <c r="C156" s="31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0"/>
    </row>
    <row r="157" spans="1:14">
      <c r="A157" s="313"/>
      <c r="B157" s="316"/>
      <c r="C157" s="31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0"/>
    </row>
    <row r="158" spans="1:14">
      <c r="A158" s="313"/>
      <c r="B158" s="316"/>
      <c r="C158" s="31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0"/>
    </row>
    <row r="159" spans="1:14" ht="15" thickBot="1">
      <c r="A159" s="314"/>
      <c r="B159" s="317"/>
      <c r="C159" s="320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</row>
    <row r="160" spans="1:14">
      <c r="A160" s="312" t="str">
        <f>IF('Lay out'!A312="","",'Lay out'!A312)</f>
        <v/>
      </c>
      <c r="B160" s="315"/>
      <c r="C160" s="3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9"/>
    </row>
    <row r="161" spans="1:14">
      <c r="A161" s="313"/>
      <c r="B161" s="316"/>
      <c r="C161" s="31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0"/>
    </row>
    <row r="162" spans="1:14">
      <c r="A162" s="313"/>
      <c r="B162" s="316"/>
      <c r="C162" s="31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0"/>
    </row>
    <row r="163" spans="1:14">
      <c r="A163" s="313"/>
      <c r="B163" s="316"/>
      <c r="C163" s="31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0"/>
    </row>
    <row r="164" spans="1:14" ht="15" thickBot="1">
      <c r="A164" s="314"/>
      <c r="B164" s="317"/>
      <c r="C164" s="320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</row>
    <row r="165" spans="1:14">
      <c r="A165" s="312" t="str">
        <f>IF('Lay out'!A317="","",'Lay out'!A317)</f>
        <v/>
      </c>
      <c r="B165" s="315"/>
      <c r="C165" s="3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9"/>
    </row>
    <row r="166" spans="1:14">
      <c r="A166" s="313"/>
      <c r="B166" s="316"/>
      <c r="C166" s="31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0"/>
    </row>
    <row r="167" spans="1:14">
      <c r="A167" s="313"/>
      <c r="B167" s="316"/>
      <c r="C167" s="31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0"/>
    </row>
    <row r="168" spans="1:14">
      <c r="A168" s="313"/>
      <c r="B168" s="316"/>
      <c r="C168" s="31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0"/>
    </row>
    <row r="169" spans="1:14" ht="15" thickBot="1">
      <c r="A169" s="314"/>
      <c r="B169" s="317"/>
      <c r="C169" s="3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</row>
    <row r="170" spans="1:14">
      <c r="A170" s="312" t="str">
        <f>IF('Lay out'!A322="","",'Lay out'!A322)</f>
        <v/>
      </c>
      <c r="B170" s="315"/>
      <c r="C170" s="3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9"/>
    </row>
    <row r="171" spans="1:14">
      <c r="A171" s="313"/>
      <c r="B171" s="316"/>
      <c r="C171" s="31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0"/>
    </row>
    <row r="172" spans="1:14">
      <c r="A172" s="313"/>
      <c r="B172" s="316"/>
      <c r="C172" s="31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0"/>
    </row>
    <row r="173" spans="1:14">
      <c r="A173" s="313"/>
      <c r="B173" s="316"/>
      <c r="C173" s="31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0"/>
    </row>
    <row r="174" spans="1:14" ht="15" thickBot="1">
      <c r="A174" s="314"/>
      <c r="B174" s="317"/>
      <c r="C174" s="320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</row>
    <row r="175" spans="1:14">
      <c r="A175" s="312" t="str">
        <f>IF('Lay out'!A327="","",'Lay out'!A327)</f>
        <v/>
      </c>
      <c r="B175" s="315"/>
      <c r="C175" s="3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9"/>
    </row>
    <row r="176" spans="1:14">
      <c r="A176" s="313"/>
      <c r="B176" s="316"/>
      <c r="C176" s="31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0"/>
    </row>
    <row r="177" spans="1:14">
      <c r="A177" s="313"/>
      <c r="B177" s="316"/>
      <c r="C177" s="31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0"/>
    </row>
    <row r="178" spans="1:14">
      <c r="A178" s="313"/>
      <c r="B178" s="316"/>
      <c r="C178" s="31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0"/>
    </row>
    <row r="179" spans="1:14" ht="15" thickBot="1">
      <c r="A179" s="314"/>
      <c r="B179" s="317"/>
      <c r="C179" s="320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</row>
    <row r="180" spans="1:14">
      <c r="A180" s="312" t="str">
        <f>IF('Lay out'!A332="","",'Lay out'!A332)</f>
        <v/>
      </c>
      <c r="B180" s="315"/>
      <c r="C180" s="3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9"/>
    </row>
    <row r="181" spans="1:14">
      <c r="A181" s="313"/>
      <c r="B181" s="316"/>
      <c r="C181" s="31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0"/>
    </row>
    <row r="182" spans="1:14">
      <c r="A182" s="313"/>
      <c r="B182" s="316"/>
      <c r="C182" s="31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0"/>
    </row>
    <row r="183" spans="1:14">
      <c r="A183" s="313"/>
      <c r="B183" s="316"/>
      <c r="C183" s="31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0"/>
    </row>
    <row r="184" spans="1:14" ht="15" thickBot="1">
      <c r="A184" s="314"/>
      <c r="B184" s="317"/>
      <c r="C184" s="320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</row>
    <row r="185" spans="1:14">
      <c r="A185" s="312" t="str">
        <f>IF('Lay out'!A337="","",'Lay out'!A337)</f>
        <v/>
      </c>
      <c r="B185" s="315"/>
      <c r="C185" s="3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9"/>
    </row>
    <row r="186" spans="1:14">
      <c r="A186" s="313"/>
      <c r="B186" s="316"/>
      <c r="C186" s="31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0"/>
    </row>
    <row r="187" spans="1:14">
      <c r="A187" s="313"/>
      <c r="B187" s="316"/>
      <c r="C187" s="31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0"/>
    </row>
    <row r="188" spans="1:14">
      <c r="A188" s="313"/>
      <c r="B188" s="316"/>
      <c r="C188" s="31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0"/>
    </row>
    <row r="189" spans="1:14" ht="15" thickBot="1">
      <c r="A189" s="314"/>
      <c r="B189" s="317"/>
      <c r="C189" s="32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</row>
    <row r="190" spans="1:14">
      <c r="A190" s="312" t="str">
        <f>IF('Lay out'!A342="","",'Lay out'!A342)</f>
        <v/>
      </c>
      <c r="B190" s="315"/>
      <c r="C190" s="3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9"/>
    </row>
    <row r="191" spans="1:14">
      <c r="A191" s="313"/>
      <c r="B191" s="316"/>
      <c r="C191" s="31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0"/>
    </row>
    <row r="192" spans="1:14">
      <c r="A192" s="313"/>
      <c r="B192" s="316"/>
      <c r="C192" s="31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0"/>
    </row>
    <row r="193" spans="1:14">
      <c r="A193" s="313"/>
      <c r="B193" s="316"/>
      <c r="C193" s="31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0"/>
    </row>
    <row r="194" spans="1:14" ht="15" thickBot="1">
      <c r="A194" s="314"/>
      <c r="B194" s="317"/>
      <c r="C194" s="320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>
      <c r="A195" s="312" t="str">
        <f>IF('Lay out'!A347="","",'Lay out'!A347)</f>
        <v/>
      </c>
      <c r="B195" s="315"/>
      <c r="C195" s="3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9"/>
    </row>
    <row r="196" spans="1:14">
      <c r="A196" s="313"/>
      <c r="B196" s="316"/>
      <c r="C196" s="31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0"/>
    </row>
    <row r="197" spans="1:14">
      <c r="A197" s="313"/>
      <c r="B197" s="316"/>
      <c r="C197" s="31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0"/>
    </row>
    <row r="198" spans="1:14">
      <c r="A198" s="313"/>
      <c r="B198" s="316"/>
      <c r="C198" s="31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0"/>
    </row>
    <row r="199" spans="1:14" ht="15" thickBot="1">
      <c r="A199" s="314"/>
      <c r="B199" s="317"/>
      <c r="C199" s="3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2"/>
    </row>
    <row r="200" spans="1:14">
      <c r="A200" s="312" t="str">
        <f>IF('Lay out'!A352="","",'Lay out'!A352)</f>
        <v/>
      </c>
      <c r="B200" s="315"/>
      <c r="C200" s="3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9"/>
    </row>
    <row r="201" spans="1:14">
      <c r="A201" s="313"/>
      <c r="B201" s="316"/>
      <c r="C201" s="31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0"/>
    </row>
    <row r="202" spans="1:14">
      <c r="A202" s="313"/>
      <c r="B202" s="316"/>
      <c r="C202" s="31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0"/>
    </row>
    <row r="203" spans="1:14">
      <c r="A203" s="313"/>
      <c r="B203" s="316"/>
      <c r="C203" s="31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0"/>
    </row>
    <row r="204" spans="1:14" ht="15" thickBot="1">
      <c r="A204" s="314"/>
      <c r="B204" s="317"/>
      <c r="C204" s="320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2"/>
    </row>
    <row r="205" spans="1:14">
      <c r="A205" s="312" t="str">
        <f>IF('Lay out'!A357="","",'Lay out'!A357)</f>
        <v/>
      </c>
      <c r="B205" s="315"/>
      <c r="C205" s="3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9"/>
    </row>
    <row r="206" spans="1:14">
      <c r="A206" s="313"/>
      <c r="B206" s="316"/>
      <c r="C206" s="31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0"/>
    </row>
    <row r="207" spans="1:14">
      <c r="A207" s="313"/>
      <c r="B207" s="316"/>
      <c r="C207" s="31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0"/>
    </row>
    <row r="208" spans="1:14">
      <c r="A208" s="313"/>
      <c r="B208" s="316"/>
      <c r="C208" s="31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0"/>
    </row>
    <row r="209" spans="1:14" ht="15" thickBot="1">
      <c r="A209" s="314"/>
      <c r="B209" s="317"/>
      <c r="C209" s="320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2"/>
    </row>
    <row r="210" spans="1:14">
      <c r="A210" s="312" t="str">
        <f>IF('Lay out'!A362="","",'Lay out'!A362)</f>
        <v/>
      </c>
      <c r="B210" s="315"/>
      <c r="C210" s="3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9"/>
    </row>
    <row r="211" spans="1:14">
      <c r="A211" s="313"/>
      <c r="B211" s="316"/>
      <c r="C211" s="31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0"/>
    </row>
    <row r="212" spans="1:14">
      <c r="A212" s="313"/>
      <c r="B212" s="316"/>
      <c r="C212" s="31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0"/>
    </row>
    <row r="213" spans="1:14">
      <c r="A213" s="313"/>
      <c r="B213" s="316"/>
      <c r="C213" s="31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0"/>
    </row>
    <row r="214" spans="1:14" ht="15" thickBot="1">
      <c r="A214" s="314"/>
      <c r="B214" s="317"/>
      <c r="C214" s="320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2"/>
    </row>
    <row r="215" spans="1:14">
      <c r="A215" s="312" t="str">
        <f>IF('Lay out'!A367="","",'Lay out'!A367)</f>
        <v/>
      </c>
      <c r="B215" s="315"/>
      <c r="C215" s="3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9"/>
    </row>
    <row r="216" spans="1:14">
      <c r="A216" s="313"/>
      <c r="B216" s="316"/>
      <c r="C216" s="31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0"/>
    </row>
    <row r="217" spans="1:14">
      <c r="A217" s="313"/>
      <c r="B217" s="316"/>
      <c r="C217" s="31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0"/>
    </row>
    <row r="218" spans="1:14">
      <c r="A218" s="313"/>
      <c r="B218" s="316"/>
      <c r="C218" s="31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0"/>
    </row>
    <row r="219" spans="1:14" ht="15" thickBot="1">
      <c r="A219" s="314"/>
      <c r="B219" s="317"/>
      <c r="C219" s="320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>
      <c r="A220" s="312" t="str">
        <f>IF('Lay out'!A372="","",'Lay out'!A372)</f>
        <v/>
      </c>
      <c r="B220" s="315"/>
      <c r="C220" s="3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9"/>
    </row>
    <row r="221" spans="1:14">
      <c r="A221" s="313"/>
      <c r="B221" s="316"/>
      <c r="C221" s="31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0"/>
    </row>
    <row r="222" spans="1:14">
      <c r="A222" s="313"/>
      <c r="B222" s="316"/>
      <c r="C222" s="31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0"/>
    </row>
    <row r="223" spans="1:14">
      <c r="A223" s="313"/>
      <c r="B223" s="316"/>
      <c r="C223" s="31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0"/>
    </row>
    <row r="224" spans="1:14" ht="15" thickBot="1">
      <c r="A224" s="314"/>
      <c r="B224" s="317"/>
      <c r="C224" s="320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2"/>
    </row>
    <row r="225" spans="1:14">
      <c r="A225" s="312" t="str">
        <f>IF('Lay out'!A377="","",'Lay out'!A377)</f>
        <v/>
      </c>
      <c r="B225" s="315"/>
      <c r="C225" s="3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9"/>
    </row>
    <row r="226" spans="1:14">
      <c r="A226" s="313"/>
      <c r="B226" s="316"/>
      <c r="C226" s="31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0"/>
    </row>
    <row r="227" spans="1:14">
      <c r="A227" s="313"/>
      <c r="B227" s="316"/>
      <c r="C227" s="31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0"/>
    </row>
    <row r="228" spans="1:14">
      <c r="A228" s="313"/>
      <c r="B228" s="316"/>
      <c r="C228" s="31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0"/>
    </row>
    <row r="229" spans="1:14" ht="15" thickBot="1">
      <c r="A229" s="314"/>
      <c r="B229" s="317"/>
      <c r="C229" s="320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2"/>
    </row>
    <row r="230" spans="1:14">
      <c r="A230" s="312" t="str">
        <f>IF('Lay out'!A382="","",'Lay out'!A382)</f>
        <v/>
      </c>
      <c r="B230" s="315"/>
      <c r="C230" s="3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9"/>
    </row>
    <row r="231" spans="1:14">
      <c r="A231" s="313"/>
      <c r="B231" s="316"/>
      <c r="C231" s="31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0"/>
    </row>
    <row r="232" spans="1:14">
      <c r="A232" s="313"/>
      <c r="B232" s="316"/>
      <c r="C232" s="31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0"/>
    </row>
    <row r="233" spans="1:14">
      <c r="A233" s="313"/>
      <c r="B233" s="316"/>
      <c r="C233" s="31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0"/>
    </row>
    <row r="234" spans="1:14" ht="15" thickBot="1">
      <c r="A234" s="314"/>
      <c r="B234" s="317"/>
      <c r="C234" s="320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2"/>
    </row>
    <row r="235" spans="1:14">
      <c r="A235" s="312" t="str">
        <f>IF('Lay out'!A387="","",'Lay out'!A387)</f>
        <v/>
      </c>
      <c r="B235" s="315"/>
      <c r="C235" s="3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9"/>
    </row>
    <row r="236" spans="1:14">
      <c r="A236" s="313"/>
      <c r="B236" s="316"/>
      <c r="C236" s="31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0"/>
    </row>
    <row r="237" spans="1:14">
      <c r="A237" s="313"/>
      <c r="B237" s="316"/>
      <c r="C237" s="31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0"/>
    </row>
    <row r="238" spans="1:14">
      <c r="A238" s="313"/>
      <c r="B238" s="316"/>
      <c r="C238" s="31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0"/>
    </row>
    <row r="239" spans="1:14" ht="15" thickBot="1">
      <c r="A239" s="314"/>
      <c r="B239" s="317"/>
      <c r="C239" s="3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2"/>
    </row>
    <row r="240" spans="1:14">
      <c r="A240" s="312" t="str">
        <f>IF('Lay out'!A392="","",'Lay out'!A392)</f>
        <v/>
      </c>
      <c r="B240" s="315"/>
      <c r="C240" s="3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9"/>
    </row>
    <row r="241" spans="1:14">
      <c r="A241" s="313"/>
      <c r="B241" s="316"/>
      <c r="C241" s="31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0"/>
    </row>
    <row r="242" spans="1:14">
      <c r="A242" s="313"/>
      <c r="B242" s="316"/>
      <c r="C242" s="31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0"/>
    </row>
    <row r="243" spans="1:14">
      <c r="A243" s="313"/>
      <c r="B243" s="316"/>
      <c r="C243" s="31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0"/>
    </row>
    <row r="244" spans="1:14" ht="15" thickBot="1">
      <c r="A244" s="314"/>
      <c r="B244" s="317"/>
      <c r="C244" s="320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2"/>
    </row>
    <row r="245" spans="1:14">
      <c r="A245" s="312" t="str">
        <f>IF('Lay out'!A397="","",'Lay out'!A397)</f>
        <v/>
      </c>
      <c r="B245" s="315"/>
      <c r="C245" s="3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9"/>
    </row>
    <row r="246" spans="1:14">
      <c r="A246" s="313"/>
      <c r="B246" s="316"/>
      <c r="C246" s="31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0"/>
    </row>
    <row r="247" spans="1:14">
      <c r="A247" s="313"/>
      <c r="B247" s="316"/>
      <c r="C247" s="31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0"/>
    </row>
    <row r="248" spans="1:14">
      <c r="A248" s="313"/>
      <c r="B248" s="316"/>
      <c r="C248" s="31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0"/>
    </row>
    <row r="249" spans="1:14" ht="15" thickBot="1">
      <c r="A249" s="314"/>
      <c r="B249" s="317"/>
      <c r="C249" s="320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2"/>
    </row>
    <row r="250" spans="1:14">
      <c r="A250" s="312" t="str">
        <f>IF('Lay out'!A402="","",'Lay out'!A402)</f>
        <v/>
      </c>
      <c r="B250" s="315"/>
      <c r="C250" s="3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9"/>
    </row>
    <row r="251" spans="1:14">
      <c r="A251" s="313"/>
      <c r="B251" s="316"/>
      <c r="C251" s="31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0"/>
    </row>
    <row r="252" spans="1:14">
      <c r="A252" s="313"/>
      <c r="B252" s="316"/>
      <c r="C252" s="31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0"/>
    </row>
    <row r="253" spans="1:14">
      <c r="A253" s="313"/>
      <c r="B253" s="316"/>
      <c r="C253" s="31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0"/>
    </row>
    <row r="254" spans="1:14" ht="15" thickBot="1">
      <c r="A254" s="314"/>
      <c r="B254" s="317"/>
      <c r="C254" s="320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2"/>
    </row>
    <row r="255" spans="1:14">
      <c r="A255" s="312" t="str">
        <f>IF('Lay out'!A407="","",'Lay out'!A407)</f>
        <v/>
      </c>
      <c r="B255" s="315"/>
      <c r="C255" s="3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9"/>
    </row>
    <row r="256" spans="1:14">
      <c r="A256" s="313"/>
      <c r="B256" s="316"/>
      <c r="C256" s="31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0"/>
    </row>
    <row r="257" spans="1:14">
      <c r="A257" s="313"/>
      <c r="B257" s="316"/>
      <c r="C257" s="31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0"/>
    </row>
    <row r="258" spans="1:14">
      <c r="A258" s="313"/>
      <c r="B258" s="316"/>
      <c r="C258" s="31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0"/>
    </row>
    <row r="259" spans="1:14" ht="15" thickBot="1">
      <c r="A259" s="314"/>
      <c r="B259" s="317"/>
      <c r="C259" s="3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2"/>
    </row>
    <row r="260" spans="1:14">
      <c r="A260" s="312" t="str">
        <f>IF('Lay out'!A412="","",'Lay out'!A412)</f>
        <v/>
      </c>
      <c r="B260" s="315"/>
      <c r="C260" s="3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9"/>
    </row>
    <row r="261" spans="1:14">
      <c r="A261" s="313"/>
      <c r="B261" s="316"/>
      <c r="C261" s="31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0"/>
    </row>
    <row r="262" spans="1:14">
      <c r="A262" s="313"/>
      <c r="B262" s="316"/>
      <c r="C262" s="31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0"/>
    </row>
    <row r="263" spans="1:14">
      <c r="A263" s="313"/>
      <c r="B263" s="316"/>
      <c r="C263" s="31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0"/>
    </row>
    <row r="264" spans="1:14" ht="15" thickBot="1">
      <c r="A264" s="314"/>
      <c r="B264" s="317"/>
      <c r="C264" s="320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2"/>
    </row>
    <row r="265" spans="1:14">
      <c r="A265" s="312" t="str">
        <f>IF('Lay out'!A417="","",'Lay out'!A417)</f>
        <v/>
      </c>
      <c r="B265" s="315"/>
      <c r="C265" s="3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9"/>
    </row>
    <row r="266" spans="1:14">
      <c r="A266" s="313"/>
      <c r="B266" s="316"/>
      <c r="C266" s="31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0"/>
    </row>
    <row r="267" spans="1:14">
      <c r="A267" s="313"/>
      <c r="B267" s="316"/>
      <c r="C267" s="31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0"/>
    </row>
    <row r="268" spans="1:14">
      <c r="A268" s="313"/>
      <c r="B268" s="316"/>
      <c r="C268" s="31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0"/>
    </row>
    <row r="269" spans="1:14" ht="15" thickBot="1">
      <c r="A269" s="314"/>
      <c r="B269" s="317"/>
      <c r="C269" s="320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2"/>
    </row>
    <row r="270" spans="1:14">
      <c r="A270" s="312" t="str">
        <f>IF('Lay out'!A422="","",'Lay out'!A422)</f>
        <v/>
      </c>
      <c r="B270" s="315"/>
      <c r="C270" s="3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9"/>
    </row>
    <row r="271" spans="1:14">
      <c r="A271" s="313"/>
      <c r="B271" s="316"/>
      <c r="C271" s="31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0"/>
    </row>
    <row r="272" spans="1:14">
      <c r="A272" s="313"/>
      <c r="B272" s="316"/>
      <c r="C272" s="31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0"/>
    </row>
    <row r="273" spans="1:14">
      <c r="A273" s="313"/>
      <c r="B273" s="316"/>
      <c r="C273" s="31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0"/>
    </row>
    <row r="274" spans="1:14" ht="15" thickBot="1">
      <c r="A274" s="314"/>
      <c r="B274" s="317"/>
      <c r="C274" s="320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2"/>
    </row>
    <row r="275" spans="1:14">
      <c r="A275" s="312" t="str">
        <f>IF('Lay out'!A427="","",'Lay out'!A427)</f>
        <v/>
      </c>
      <c r="B275" s="315"/>
      <c r="C275" s="3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9"/>
    </row>
    <row r="276" spans="1:14">
      <c r="A276" s="313"/>
      <c r="B276" s="316"/>
      <c r="C276" s="31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0"/>
    </row>
    <row r="277" spans="1:14">
      <c r="A277" s="313"/>
      <c r="B277" s="316"/>
      <c r="C277" s="31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0"/>
    </row>
    <row r="278" spans="1:14">
      <c r="A278" s="313"/>
      <c r="B278" s="316"/>
      <c r="C278" s="31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0"/>
    </row>
    <row r="279" spans="1:14" ht="15" thickBot="1">
      <c r="A279" s="314"/>
      <c r="B279" s="317"/>
      <c r="C279" s="3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2"/>
    </row>
    <row r="280" spans="1:14">
      <c r="A280" s="312" t="str">
        <f>IF('Lay out'!A432="","",'Lay out'!A432)</f>
        <v/>
      </c>
      <c r="B280" s="315"/>
      <c r="C280" s="3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9"/>
    </row>
    <row r="281" spans="1:14">
      <c r="A281" s="313"/>
      <c r="B281" s="316"/>
      <c r="C281" s="31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0"/>
    </row>
    <row r="282" spans="1:14">
      <c r="A282" s="313"/>
      <c r="B282" s="316"/>
      <c r="C282" s="31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0"/>
    </row>
    <row r="283" spans="1:14">
      <c r="A283" s="313"/>
      <c r="B283" s="316"/>
      <c r="C283" s="31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0"/>
    </row>
    <row r="284" spans="1:14" ht="15" thickBot="1">
      <c r="A284" s="314"/>
      <c r="B284" s="317"/>
      <c r="C284" s="320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2"/>
    </row>
    <row r="285" spans="1:14">
      <c r="A285" s="312" t="str">
        <f>IF('Lay out'!A437="","",'Lay out'!A437)</f>
        <v/>
      </c>
      <c r="B285" s="315"/>
      <c r="C285" s="3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9"/>
    </row>
    <row r="286" spans="1:14">
      <c r="A286" s="313"/>
      <c r="B286" s="316"/>
      <c r="C286" s="31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0"/>
    </row>
    <row r="287" spans="1:14">
      <c r="A287" s="313"/>
      <c r="B287" s="316"/>
      <c r="C287" s="31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0"/>
    </row>
    <row r="288" spans="1:14">
      <c r="A288" s="313"/>
      <c r="B288" s="316"/>
      <c r="C288" s="31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0"/>
    </row>
    <row r="289" spans="1:14" ht="15" thickBot="1">
      <c r="A289" s="314"/>
      <c r="B289" s="317"/>
      <c r="C289" s="320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2"/>
    </row>
    <row r="290" spans="1:14">
      <c r="A290" s="312" t="str">
        <f>IF('Lay out'!A442="","",'Lay out'!A442)</f>
        <v/>
      </c>
      <c r="B290" s="315"/>
      <c r="C290" s="3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9"/>
    </row>
    <row r="291" spans="1:14">
      <c r="A291" s="313"/>
      <c r="B291" s="316"/>
      <c r="C291" s="31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0"/>
    </row>
    <row r="292" spans="1:14">
      <c r="A292" s="313"/>
      <c r="B292" s="316"/>
      <c r="C292" s="31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0"/>
    </row>
    <row r="293" spans="1:14">
      <c r="A293" s="313"/>
      <c r="B293" s="316"/>
      <c r="C293" s="31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0"/>
    </row>
    <row r="294" spans="1:14" ht="15" thickBot="1">
      <c r="A294" s="314"/>
      <c r="B294" s="317"/>
      <c r="C294" s="320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2"/>
    </row>
    <row r="295" spans="1:14">
      <c r="A295" s="312" t="str">
        <f>IF('Lay out'!A447="","",'Lay out'!A447)</f>
        <v/>
      </c>
      <c r="B295" s="315"/>
      <c r="C295" s="3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9"/>
    </row>
    <row r="296" spans="1:14">
      <c r="A296" s="313"/>
      <c r="B296" s="316"/>
      <c r="C296" s="31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0"/>
    </row>
    <row r="297" spans="1:14">
      <c r="A297" s="313"/>
      <c r="B297" s="316"/>
      <c r="C297" s="31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0"/>
    </row>
    <row r="298" spans="1:14">
      <c r="A298" s="313"/>
      <c r="B298" s="316"/>
      <c r="C298" s="31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0"/>
    </row>
    <row r="299" spans="1:14" ht="15" thickBot="1">
      <c r="A299" s="314"/>
      <c r="B299" s="317"/>
      <c r="C299" s="320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>
      <c r="A300" s="312" t="str">
        <f>IF('Lay out'!A452="","",'Lay out'!A452)</f>
        <v/>
      </c>
      <c r="B300" s="315"/>
      <c r="C300" s="3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9"/>
    </row>
    <row r="301" spans="1:14">
      <c r="A301" s="313"/>
      <c r="B301" s="316"/>
      <c r="C301" s="31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0"/>
    </row>
    <row r="302" spans="1:14">
      <c r="A302" s="313"/>
      <c r="B302" s="316"/>
      <c r="C302" s="31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0"/>
    </row>
    <row r="303" spans="1:14">
      <c r="A303" s="313"/>
      <c r="B303" s="316"/>
      <c r="C303" s="31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0"/>
    </row>
    <row r="304" spans="1:14" ht="15" thickBot="1">
      <c r="A304" s="314"/>
      <c r="B304" s="317"/>
      <c r="C304" s="320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2"/>
    </row>
    <row r="305" spans="1:14">
      <c r="A305" s="312" t="str">
        <f>IF('Lay out'!A457="","",'Lay out'!A457)</f>
        <v/>
      </c>
      <c r="B305" s="315"/>
      <c r="C305" s="3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9"/>
    </row>
    <row r="306" spans="1:14">
      <c r="A306" s="313"/>
      <c r="B306" s="316"/>
      <c r="C306" s="31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0"/>
    </row>
    <row r="307" spans="1:14">
      <c r="A307" s="313"/>
      <c r="B307" s="316"/>
      <c r="C307" s="31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0"/>
    </row>
    <row r="308" spans="1:14">
      <c r="A308" s="313"/>
      <c r="B308" s="316"/>
      <c r="C308" s="31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0"/>
    </row>
    <row r="309" spans="1:14" ht="15" thickBot="1">
      <c r="A309" s="314"/>
      <c r="B309" s="317"/>
      <c r="C309" s="320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2"/>
    </row>
    <row r="310" spans="1:14">
      <c r="A310" s="312" t="str">
        <f>IF('Lay out'!A462="","",'Lay out'!A462)</f>
        <v/>
      </c>
      <c r="B310" s="315"/>
      <c r="C310" s="3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9"/>
    </row>
    <row r="311" spans="1:14">
      <c r="A311" s="313"/>
      <c r="B311" s="316"/>
      <c r="C311" s="31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0"/>
    </row>
    <row r="312" spans="1:14">
      <c r="A312" s="313"/>
      <c r="B312" s="316"/>
      <c r="C312" s="31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0"/>
    </row>
    <row r="313" spans="1:14">
      <c r="A313" s="313"/>
      <c r="B313" s="316"/>
      <c r="C313" s="31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0"/>
    </row>
    <row r="314" spans="1:14" ht="15" thickBot="1">
      <c r="A314" s="314"/>
      <c r="B314" s="317"/>
      <c r="C314" s="320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2"/>
    </row>
    <row r="315" spans="1:14">
      <c r="A315" s="312" t="str">
        <f>IF('Lay out'!A467="","",'Lay out'!A467)</f>
        <v/>
      </c>
      <c r="B315" s="315"/>
      <c r="C315" s="3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9"/>
    </row>
    <row r="316" spans="1:14">
      <c r="A316" s="313"/>
      <c r="B316" s="316"/>
      <c r="C316" s="31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0"/>
    </row>
    <row r="317" spans="1:14">
      <c r="A317" s="313"/>
      <c r="B317" s="316"/>
      <c r="C317" s="31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0"/>
    </row>
    <row r="318" spans="1:14">
      <c r="A318" s="313"/>
      <c r="B318" s="316"/>
      <c r="C318" s="31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0"/>
    </row>
    <row r="319" spans="1:14" ht="15" thickBot="1">
      <c r="A319" s="314"/>
      <c r="B319" s="317"/>
      <c r="C319" s="320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2"/>
    </row>
    <row r="320" spans="1:14">
      <c r="A320" s="312" t="str">
        <f>IF('Lay out'!A472="","",'Lay out'!A472)</f>
        <v/>
      </c>
      <c r="B320" s="315"/>
      <c r="C320" s="3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9"/>
    </row>
    <row r="321" spans="1:14">
      <c r="A321" s="313"/>
      <c r="B321" s="316"/>
      <c r="C321" s="31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0"/>
    </row>
    <row r="322" spans="1:14">
      <c r="A322" s="313"/>
      <c r="B322" s="316"/>
      <c r="C322" s="31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0"/>
    </row>
    <row r="323" spans="1:14">
      <c r="A323" s="313"/>
      <c r="B323" s="316"/>
      <c r="C323" s="31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0"/>
    </row>
    <row r="324" spans="1:14" ht="15" thickBot="1">
      <c r="A324" s="314"/>
      <c r="B324" s="317"/>
      <c r="C324" s="320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2"/>
    </row>
    <row r="325" spans="1:14">
      <c r="A325" s="312" t="str">
        <f>IF('Lay out'!A477="","",'Lay out'!A477)</f>
        <v/>
      </c>
      <c r="B325" s="315"/>
      <c r="C325" s="3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9"/>
    </row>
    <row r="326" spans="1:14">
      <c r="A326" s="313"/>
      <c r="B326" s="316"/>
      <c r="C326" s="31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0"/>
    </row>
    <row r="327" spans="1:14">
      <c r="A327" s="313"/>
      <c r="B327" s="316"/>
      <c r="C327" s="31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0"/>
    </row>
    <row r="328" spans="1:14">
      <c r="A328" s="313"/>
      <c r="B328" s="316"/>
      <c r="C328" s="31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0"/>
    </row>
    <row r="329" spans="1:14" ht="15" thickBot="1">
      <c r="A329" s="314"/>
      <c r="B329" s="317"/>
      <c r="C329" s="320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2"/>
    </row>
    <row r="330" spans="1:14">
      <c r="A330" s="312" t="str">
        <f>IF('Lay out'!A482="","",'Lay out'!A482)</f>
        <v/>
      </c>
      <c r="B330" s="315"/>
      <c r="C330" s="3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9"/>
    </row>
    <row r="331" spans="1:14">
      <c r="A331" s="313"/>
      <c r="B331" s="316"/>
      <c r="C331" s="31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0"/>
    </row>
    <row r="332" spans="1:14">
      <c r="A332" s="313"/>
      <c r="B332" s="316"/>
      <c r="C332" s="31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0"/>
    </row>
    <row r="333" spans="1:14">
      <c r="A333" s="313"/>
      <c r="B333" s="316"/>
      <c r="C333" s="31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0"/>
    </row>
    <row r="334" spans="1:14" ht="15" thickBot="1">
      <c r="A334" s="314"/>
      <c r="B334" s="317"/>
      <c r="C334" s="3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2"/>
    </row>
    <row r="335" spans="1:14">
      <c r="A335" s="312" t="str">
        <f>IF('Lay out'!A487="","",'Lay out'!A487)</f>
        <v/>
      </c>
      <c r="B335" s="315"/>
      <c r="C335" s="3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9"/>
    </row>
    <row r="336" spans="1:14">
      <c r="A336" s="313"/>
      <c r="B336" s="316"/>
      <c r="C336" s="31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0"/>
    </row>
    <row r="337" spans="1:14">
      <c r="A337" s="313"/>
      <c r="B337" s="316"/>
      <c r="C337" s="31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0"/>
    </row>
    <row r="338" spans="1:14">
      <c r="A338" s="313"/>
      <c r="B338" s="316"/>
      <c r="C338" s="31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0"/>
    </row>
    <row r="339" spans="1:14" ht="15" thickBot="1">
      <c r="A339" s="314"/>
      <c r="B339" s="317"/>
      <c r="C339" s="320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2"/>
    </row>
    <row r="340" spans="1:14">
      <c r="A340" s="312" t="str">
        <f>IF('Lay out'!A492="","",'Lay out'!A492)</f>
        <v/>
      </c>
      <c r="B340" s="315"/>
      <c r="C340" s="3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9"/>
    </row>
    <row r="341" spans="1:14">
      <c r="A341" s="313"/>
      <c r="B341" s="316"/>
      <c r="C341" s="31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0"/>
    </row>
    <row r="342" spans="1:14">
      <c r="A342" s="313"/>
      <c r="B342" s="316"/>
      <c r="C342" s="31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0"/>
    </row>
    <row r="343" spans="1:14">
      <c r="A343" s="313"/>
      <c r="B343" s="316"/>
      <c r="C343" s="31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0"/>
    </row>
    <row r="344" spans="1:14" ht="15" thickBot="1">
      <c r="A344" s="314"/>
      <c r="B344" s="317"/>
      <c r="C344" s="320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2"/>
    </row>
    <row r="345" spans="1:14">
      <c r="A345" s="312" t="str">
        <f>IF('Lay out'!A497="","",'Lay out'!A497)</f>
        <v/>
      </c>
      <c r="B345" s="315"/>
      <c r="C345" s="3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9"/>
    </row>
    <row r="346" spans="1:14">
      <c r="A346" s="313"/>
      <c r="B346" s="316"/>
      <c r="C346" s="31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0"/>
    </row>
    <row r="347" spans="1:14">
      <c r="A347" s="313"/>
      <c r="B347" s="316"/>
      <c r="C347" s="31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0"/>
    </row>
    <row r="348" spans="1:14">
      <c r="A348" s="313"/>
      <c r="B348" s="316"/>
      <c r="C348" s="31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0"/>
    </row>
    <row r="349" spans="1:14" ht="15" thickBot="1">
      <c r="A349" s="314"/>
      <c r="B349" s="317"/>
      <c r="C349" s="320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2"/>
    </row>
    <row r="350" spans="1:14">
      <c r="A350" s="312" t="str">
        <f>IF('Lay out'!A502="","",'Lay out'!A502)</f>
        <v/>
      </c>
      <c r="B350" s="315"/>
      <c r="C350" s="3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9"/>
    </row>
    <row r="351" spans="1:14">
      <c r="A351" s="313"/>
      <c r="B351" s="316"/>
      <c r="C351" s="31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0"/>
    </row>
    <row r="352" spans="1:14">
      <c r="A352" s="313"/>
      <c r="B352" s="316"/>
      <c r="C352" s="31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0"/>
    </row>
    <row r="353" spans="1:14">
      <c r="A353" s="313"/>
      <c r="B353" s="316"/>
      <c r="C353" s="31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0"/>
    </row>
    <row r="354" spans="1:14" ht="15" thickBot="1">
      <c r="A354" s="314"/>
      <c r="B354" s="317"/>
      <c r="C354" s="320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2"/>
    </row>
    <row r="355" spans="1:14">
      <c r="A355" s="312" t="str">
        <f>IF('Lay out'!A507="","",'Lay out'!A507)</f>
        <v/>
      </c>
      <c r="B355" s="315"/>
      <c r="C355" s="3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9"/>
    </row>
    <row r="356" spans="1:14">
      <c r="A356" s="313"/>
      <c r="B356" s="316"/>
      <c r="C356" s="31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0"/>
    </row>
    <row r="357" spans="1:14">
      <c r="A357" s="313"/>
      <c r="B357" s="316"/>
      <c r="C357" s="31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0"/>
    </row>
    <row r="358" spans="1:14">
      <c r="A358" s="313"/>
      <c r="B358" s="316"/>
      <c r="C358" s="31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0"/>
    </row>
    <row r="359" spans="1:14" ht="15" thickBot="1">
      <c r="A359" s="314"/>
      <c r="B359" s="317"/>
      <c r="C359" s="320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2"/>
    </row>
    <row r="360" spans="1:14">
      <c r="A360" s="312" t="str">
        <f>IF('Lay out'!A512="","",'Lay out'!A512)</f>
        <v/>
      </c>
      <c r="B360" s="315"/>
      <c r="C360" s="3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9"/>
    </row>
    <row r="361" spans="1:14">
      <c r="A361" s="313"/>
      <c r="B361" s="316"/>
      <c r="C361" s="31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0"/>
    </row>
    <row r="362" spans="1:14">
      <c r="A362" s="313"/>
      <c r="B362" s="316"/>
      <c r="C362" s="31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0"/>
    </row>
    <row r="363" spans="1:14">
      <c r="A363" s="313"/>
      <c r="B363" s="316"/>
      <c r="C363" s="31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0"/>
    </row>
    <row r="364" spans="1:14" ht="15" thickBot="1">
      <c r="A364" s="314"/>
      <c r="B364" s="317"/>
      <c r="C364" s="320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2"/>
    </row>
    <row r="365" spans="1:14">
      <c r="A365" s="312" t="str">
        <f>IF('Lay out'!A517="","",'Lay out'!A517)</f>
        <v/>
      </c>
      <c r="B365" s="315"/>
      <c r="C365" s="3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9"/>
    </row>
    <row r="366" spans="1:14">
      <c r="A366" s="313"/>
      <c r="B366" s="316"/>
      <c r="C366" s="31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0"/>
    </row>
    <row r="367" spans="1:14">
      <c r="A367" s="313"/>
      <c r="B367" s="316"/>
      <c r="C367" s="31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0"/>
    </row>
    <row r="368" spans="1:14">
      <c r="A368" s="313"/>
      <c r="B368" s="316"/>
      <c r="C368" s="31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0"/>
    </row>
    <row r="369" spans="1:14" ht="15" thickBot="1">
      <c r="A369" s="314"/>
      <c r="B369" s="317"/>
      <c r="C369" s="320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2"/>
    </row>
    <row r="370" spans="1:14">
      <c r="A370" s="312" t="str">
        <f>IF('Lay out'!A522="","",'Lay out'!A522)</f>
        <v/>
      </c>
      <c r="B370" s="315"/>
      <c r="C370" s="3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9"/>
    </row>
    <row r="371" spans="1:14">
      <c r="A371" s="313"/>
      <c r="B371" s="316"/>
      <c r="C371" s="31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0"/>
    </row>
    <row r="372" spans="1:14">
      <c r="A372" s="313"/>
      <c r="B372" s="316"/>
      <c r="C372" s="31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0"/>
    </row>
    <row r="373" spans="1:14">
      <c r="A373" s="313"/>
      <c r="B373" s="316"/>
      <c r="C373" s="31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0"/>
    </row>
    <row r="374" spans="1:14" ht="15" thickBot="1">
      <c r="A374" s="314"/>
      <c r="B374" s="317"/>
      <c r="C374" s="320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2"/>
    </row>
    <row r="375" spans="1:14">
      <c r="A375" s="312" t="str">
        <f>IF('Lay out'!A527="","",'Lay out'!A527)</f>
        <v/>
      </c>
      <c r="B375" s="315"/>
      <c r="C375" s="3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9"/>
    </row>
    <row r="376" spans="1:14">
      <c r="A376" s="313"/>
      <c r="B376" s="316"/>
      <c r="C376" s="31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0"/>
    </row>
    <row r="377" spans="1:14">
      <c r="A377" s="313"/>
      <c r="B377" s="316"/>
      <c r="C377" s="31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0"/>
    </row>
    <row r="378" spans="1:14">
      <c r="A378" s="313"/>
      <c r="B378" s="316"/>
      <c r="C378" s="31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0"/>
    </row>
    <row r="379" spans="1:14" ht="15" thickBot="1">
      <c r="A379" s="314"/>
      <c r="B379" s="317"/>
      <c r="C379" s="320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2"/>
    </row>
    <row r="380" spans="1:14">
      <c r="A380" s="312" t="str">
        <f>IF('Lay out'!A532="","",'Lay out'!A532)</f>
        <v/>
      </c>
      <c r="B380" s="315"/>
      <c r="C380" s="3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9"/>
    </row>
    <row r="381" spans="1:14">
      <c r="A381" s="313"/>
      <c r="B381" s="316"/>
      <c r="C381" s="31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0"/>
    </row>
    <row r="382" spans="1:14">
      <c r="A382" s="313"/>
      <c r="B382" s="316"/>
      <c r="C382" s="31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0"/>
    </row>
    <row r="383" spans="1:14">
      <c r="A383" s="313"/>
      <c r="B383" s="316"/>
      <c r="C383" s="31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0"/>
    </row>
    <row r="384" spans="1:14" ht="15" thickBot="1">
      <c r="A384" s="314"/>
      <c r="B384" s="317"/>
      <c r="C384" s="320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2"/>
    </row>
    <row r="385" spans="1:14">
      <c r="A385" s="312" t="str">
        <f>IF('Lay out'!A537="","",'Lay out'!A537)</f>
        <v/>
      </c>
      <c r="B385" s="315"/>
      <c r="C385" s="3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9"/>
    </row>
    <row r="386" spans="1:14">
      <c r="A386" s="313"/>
      <c r="B386" s="316"/>
      <c r="C386" s="31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0"/>
    </row>
    <row r="387" spans="1:14">
      <c r="A387" s="313"/>
      <c r="B387" s="316"/>
      <c r="C387" s="31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0"/>
    </row>
    <row r="388" spans="1:14">
      <c r="A388" s="313"/>
      <c r="B388" s="316"/>
      <c r="C388" s="31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0"/>
    </row>
    <row r="389" spans="1:14" ht="15" thickBot="1">
      <c r="A389" s="314"/>
      <c r="B389" s="317"/>
      <c r="C389" s="320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2"/>
    </row>
    <row r="390" spans="1:14">
      <c r="A390" s="312" t="str">
        <f>IF('Lay out'!A542="","",'Lay out'!A542)</f>
        <v/>
      </c>
      <c r="B390" s="315"/>
      <c r="C390" s="3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9"/>
    </row>
    <row r="391" spans="1:14">
      <c r="A391" s="313"/>
      <c r="B391" s="316"/>
      <c r="C391" s="31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0"/>
    </row>
    <row r="392" spans="1:14">
      <c r="A392" s="313"/>
      <c r="B392" s="316"/>
      <c r="C392" s="31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0"/>
    </row>
    <row r="393" spans="1:14">
      <c r="A393" s="313"/>
      <c r="B393" s="316"/>
      <c r="C393" s="31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0"/>
    </row>
    <row r="394" spans="1:14" ht="15" thickBot="1">
      <c r="A394" s="314"/>
      <c r="B394" s="317"/>
      <c r="C394" s="320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2"/>
    </row>
    <row r="395" spans="1:14">
      <c r="A395" s="312" t="str">
        <f>IF('Lay out'!A547="","",'Lay out'!A547)</f>
        <v/>
      </c>
      <c r="B395" s="315"/>
      <c r="C395" s="3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9"/>
    </row>
    <row r="396" spans="1:14">
      <c r="A396" s="313"/>
      <c r="B396" s="316"/>
      <c r="C396" s="31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0"/>
    </row>
    <row r="397" spans="1:14">
      <c r="A397" s="313"/>
      <c r="B397" s="316"/>
      <c r="C397" s="31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0"/>
    </row>
    <row r="398" spans="1:14">
      <c r="A398" s="313"/>
      <c r="B398" s="316"/>
      <c r="C398" s="31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0"/>
    </row>
    <row r="399" spans="1:14" ht="15" thickBot="1">
      <c r="A399" s="314"/>
      <c r="B399" s="317"/>
      <c r="C399" s="3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2"/>
    </row>
    <row r="400" spans="1:14">
      <c r="A400" s="312" t="str">
        <f>IF('Lay out'!A552="","",'Lay out'!A552)</f>
        <v/>
      </c>
      <c r="B400" s="315"/>
      <c r="C400" s="3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9"/>
    </row>
    <row r="401" spans="1:14">
      <c r="A401" s="313"/>
      <c r="B401" s="316"/>
      <c r="C401" s="31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0"/>
    </row>
    <row r="402" spans="1:14">
      <c r="A402" s="313"/>
      <c r="B402" s="316"/>
      <c r="C402" s="31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0"/>
    </row>
    <row r="403" spans="1:14">
      <c r="A403" s="313"/>
      <c r="B403" s="316"/>
      <c r="C403" s="31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0"/>
    </row>
    <row r="404" spans="1:14" ht="15" thickBot="1">
      <c r="A404" s="314"/>
      <c r="B404" s="317"/>
      <c r="C404" s="320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2"/>
    </row>
    <row r="405" spans="1:14">
      <c r="A405" s="312" t="str">
        <f>IF('Lay out'!A557="","",'Lay out'!A557)</f>
        <v/>
      </c>
      <c r="B405" s="315"/>
      <c r="C405" s="3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9"/>
    </row>
    <row r="406" spans="1:14">
      <c r="A406" s="313"/>
      <c r="B406" s="316"/>
      <c r="C406" s="31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0"/>
    </row>
    <row r="407" spans="1:14">
      <c r="A407" s="313"/>
      <c r="B407" s="316"/>
      <c r="C407" s="31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0"/>
    </row>
    <row r="408" spans="1:14">
      <c r="A408" s="313"/>
      <c r="B408" s="316"/>
      <c r="C408" s="31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0"/>
    </row>
    <row r="409" spans="1:14" ht="15" thickBot="1">
      <c r="A409" s="314"/>
      <c r="B409" s="317"/>
      <c r="C409" s="320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2"/>
    </row>
    <row r="410" spans="1:14">
      <c r="A410" s="312" t="str">
        <f>IF('Lay out'!A562="","",'Lay out'!A562)</f>
        <v/>
      </c>
      <c r="B410" s="315"/>
      <c r="C410" s="3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9"/>
    </row>
    <row r="411" spans="1:14">
      <c r="A411" s="313"/>
      <c r="B411" s="316"/>
      <c r="C411" s="31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0"/>
    </row>
    <row r="412" spans="1:14">
      <c r="A412" s="313"/>
      <c r="B412" s="316"/>
      <c r="C412" s="31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0"/>
    </row>
    <row r="413" spans="1:14">
      <c r="A413" s="313"/>
      <c r="B413" s="316"/>
      <c r="C413" s="31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0"/>
    </row>
    <row r="414" spans="1:14" ht="15" thickBot="1">
      <c r="A414" s="314"/>
      <c r="B414" s="317"/>
      <c r="C414" s="3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</row>
    <row r="415" spans="1:14">
      <c r="A415" s="312" t="str">
        <f>IF('Lay out'!A567="","",'Lay out'!A567)</f>
        <v/>
      </c>
      <c r="B415" s="315"/>
      <c r="C415" s="3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9"/>
    </row>
    <row r="416" spans="1:14">
      <c r="A416" s="313"/>
      <c r="B416" s="316"/>
      <c r="C416" s="31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0"/>
    </row>
    <row r="417" spans="1:14">
      <c r="A417" s="313"/>
      <c r="B417" s="316"/>
      <c r="C417" s="31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0"/>
    </row>
    <row r="418" spans="1:14">
      <c r="A418" s="313"/>
      <c r="B418" s="316"/>
      <c r="C418" s="31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0"/>
    </row>
    <row r="419" spans="1:14" ht="15" thickBot="1">
      <c r="A419" s="314"/>
      <c r="B419" s="317"/>
      <c r="C419" s="3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</row>
    <row r="420" spans="1:14">
      <c r="A420" s="312" t="str">
        <f>IF('Lay out'!A572="","",'Lay out'!A572)</f>
        <v/>
      </c>
      <c r="B420" s="315"/>
      <c r="C420" s="3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9"/>
    </row>
    <row r="421" spans="1:14">
      <c r="A421" s="313"/>
      <c r="B421" s="316"/>
      <c r="C421" s="31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0"/>
    </row>
    <row r="422" spans="1:14">
      <c r="A422" s="313"/>
      <c r="B422" s="316"/>
      <c r="C422" s="31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0"/>
    </row>
    <row r="423" spans="1:14">
      <c r="A423" s="313"/>
      <c r="B423" s="316"/>
      <c r="C423" s="31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0"/>
    </row>
    <row r="424" spans="1:14" ht="15" thickBot="1">
      <c r="A424" s="314"/>
      <c r="B424" s="317"/>
      <c r="C424" s="320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2"/>
    </row>
    <row r="425" spans="1:14">
      <c r="A425" s="312" t="str">
        <f>IF('Lay out'!A577="","",'Lay out'!A577)</f>
        <v/>
      </c>
      <c r="B425" s="315"/>
      <c r="C425" s="3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9"/>
    </row>
    <row r="426" spans="1:14">
      <c r="A426" s="313"/>
      <c r="B426" s="316"/>
      <c r="C426" s="31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0"/>
    </row>
    <row r="427" spans="1:14">
      <c r="A427" s="313"/>
      <c r="B427" s="316"/>
      <c r="C427" s="31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0"/>
    </row>
    <row r="428" spans="1:14">
      <c r="A428" s="313"/>
      <c r="B428" s="316"/>
      <c r="C428" s="31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0"/>
    </row>
    <row r="429" spans="1:14" ht="15" thickBot="1">
      <c r="A429" s="314"/>
      <c r="B429" s="317"/>
      <c r="C429" s="320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2"/>
    </row>
    <row r="430" spans="1:14">
      <c r="A430" s="312" t="str">
        <f>IF('Lay out'!A582="","",'Lay out'!A582)</f>
        <v/>
      </c>
      <c r="B430" s="315"/>
      <c r="C430" s="3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9"/>
    </row>
    <row r="431" spans="1:14">
      <c r="A431" s="313"/>
      <c r="B431" s="316"/>
      <c r="C431" s="31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0"/>
    </row>
    <row r="432" spans="1:14">
      <c r="A432" s="313"/>
      <c r="B432" s="316"/>
      <c r="C432" s="31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0"/>
    </row>
    <row r="433" spans="1:14">
      <c r="A433" s="313"/>
      <c r="B433" s="316"/>
      <c r="C433" s="31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0"/>
    </row>
    <row r="434" spans="1:14" ht="15" thickBot="1">
      <c r="A434" s="314"/>
      <c r="B434" s="317"/>
      <c r="C434" s="3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2"/>
    </row>
    <row r="435" spans="1:14">
      <c r="A435" s="312" t="str">
        <f>IF('Lay out'!A587="","",'Lay out'!A587)</f>
        <v/>
      </c>
      <c r="B435" s="315"/>
      <c r="C435" s="3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9"/>
    </row>
    <row r="436" spans="1:14">
      <c r="A436" s="313"/>
      <c r="B436" s="316"/>
      <c r="C436" s="31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0"/>
    </row>
    <row r="437" spans="1:14">
      <c r="A437" s="313"/>
      <c r="B437" s="316"/>
      <c r="C437" s="31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0"/>
    </row>
    <row r="438" spans="1:14">
      <c r="A438" s="313"/>
      <c r="B438" s="316"/>
      <c r="C438" s="31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0"/>
    </row>
    <row r="439" spans="1:14" ht="15" thickBot="1">
      <c r="A439" s="314"/>
      <c r="B439" s="317"/>
      <c r="C439" s="320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2"/>
    </row>
    <row r="440" spans="1:14">
      <c r="A440" s="312" t="str">
        <f>IF('Lay out'!A592="","",'Lay out'!A592)</f>
        <v/>
      </c>
      <c r="B440" s="315"/>
      <c r="C440" s="3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9"/>
    </row>
    <row r="441" spans="1:14">
      <c r="A441" s="313"/>
      <c r="B441" s="316"/>
      <c r="C441" s="31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0"/>
    </row>
    <row r="442" spans="1:14">
      <c r="A442" s="313"/>
      <c r="B442" s="316"/>
      <c r="C442" s="31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0"/>
    </row>
    <row r="443" spans="1:14">
      <c r="A443" s="313"/>
      <c r="B443" s="316"/>
      <c r="C443" s="31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0"/>
    </row>
    <row r="444" spans="1:14" ht="15" thickBot="1">
      <c r="A444" s="314"/>
      <c r="B444" s="317"/>
      <c r="C444" s="320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2"/>
    </row>
    <row r="445" spans="1:14">
      <c r="A445" s="312" t="str">
        <f>IF('Lay out'!A597="","",'Lay out'!A597)</f>
        <v/>
      </c>
      <c r="B445" s="315"/>
      <c r="C445" s="3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9"/>
    </row>
    <row r="446" spans="1:14">
      <c r="A446" s="313"/>
      <c r="B446" s="316"/>
      <c r="C446" s="31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0"/>
    </row>
    <row r="447" spans="1:14">
      <c r="A447" s="313"/>
      <c r="B447" s="316"/>
      <c r="C447" s="31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0"/>
    </row>
    <row r="448" spans="1:14">
      <c r="A448" s="313"/>
      <c r="B448" s="316"/>
      <c r="C448" s="31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0"/>
    </row>
    <row r="449" spans="1:14" ht="15" thickBot="1">
      <c r="A449" s="314"/>
      <c r="B449" s="317"/>
      <c r="C449" s="320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2"/>
    </row>
    <row r="450" spans="1:14">
      <c r="A450" s="312" t="str">
        <f>IF('Lay out'!A602="","",'Lay out'!A602)</f>
        <v/>
      </c>
      <c r="B450" s="315"/>
      <c r="C450" s="3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9"/>
    </row>
    <row r="451" spans="1:14">
      <c r="A451" s="313"/>
      <c r="B451" s="316"/>
      <c r="C451" s="31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0"/>
    </row>
    <row r="452" spans="1:14">
      <c r="A452" s="313"/>
      <c r="B452" s="316"/>
      <c r="C452" s="31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0"/>
    </row>
    <row r="453" spans="1:14">
      <c r="A453" s="313"/>
      <c r="B453" s="316"/>
      <c r="C453" s="31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0"/>
    </row>
    <row r="454" spans="1:14" ht="15" thickBot="1">
      <c r="A454" s="314"/>
      <c r="B454" s="317"/>
      <c r="C454" s="320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2"/>
    </row>
    <row r="455" spans="1:14">
      <c r="A455" s="312" t="str">
        <f>IF('Lay out'!A607="","",'Lay out'!A607)</f>
        <v/>
      </c>
      <c r="B455" s="315"/>
      <c r="C455" s="3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9"/>
    </row>
    <row r="456" spans="1:14">
      <c r="A456" s="313"/>
      <c r="B456" s="316"/>
      <c r="C456" s="31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0"/>
    </row>
    <row r="457" spans="1:14">
      <c r="A457" s="313"/>
      <c r="B457" s="316"/>
      <c r="C457" s="31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0"/>
    </row>
    <row r="458" spans="1:14">
      <c r="A458" s="313"/>
      <c r="B458" s="316"/>
      <c r="C458" s="31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0"/>
    </row>
    <row r="459" spans="1:14" ht="15" thickBot="1">
      <c r="A459" s="314"/>
      <c r="B459" s="317"/>
      <c r="C459" s="320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</row>
    <row r="460" spans="1:14">
      <c r="A460" s="312" t="str">
        <f>IF('Lay out'!A612="","",'Lay out'!A612)</f>
        <v/>
      </c>
      <c r="B460" s="315"/>
      <c r="C460" s="3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9"/>
    </row>
    <row r="461" spans="1:14">
      <c r="A461" s="313"/>
      <c r="B461" s="316"/>
      <c r="C461" s="31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0"/>
    </row>
    <row r="462" spans="1:14">
      <c r="A462" s="313"/>
      <c r="B462" s="316"/>
      <c r="C462" s="31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0"/>
    </row>
    <row r="463" spans="1:14">
      <c r="A463" s="313"/>
      <c r="B463" s="316"/>
      <c r="C463" s="31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0"/>
    </row>
    <row r="464" spans="1:14" ht="15" thickBot="1">
      <c r="A464" s="314"/>
      <c r="B464" s="317"/>
      <c r="C464" s="3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2"/>
    </row>
    <row r="465" spans="1:14">
      <c r="A465" s="312" t="str">
        <f>IF('Lay out'!A617="","",'Lay out'!A617)</f>
        <v/>
      </c>
      <c r="B465" s="315"/>
      <c r="C465" s="3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9"/>
    </row>
    <row r="466" spans="1:14">
      <c r="A466" s="313"/>
      <c r="B466" s="316"/>
      <c r="C466" s="31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0"/>
    </row>
    <row r="467" spans="1:14">
      <c r="A467" s="313"/>
      <c r="B467" s="316"/>
      <c r="C467" s="31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0"/>
    </row>
    <row r="468" spans="1:14">
      <c r="A468" s="313"/>
      <c r="B468" s="316"/>
      <c r="C468" s="31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0"/>
    </row>
    <row r="469" spans="1:14" ht="15" thickBot="1">
      <c r="A469" s="314"/>
      <c r="B469" s="317"/>
      <c r="C469" s="320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2"/>
    </row>
    <row r="470" spans="1:14">
      <c r="A470" s="312" t="str">
        <f>IF('Lay out'!A622="","",'Lay out'!A622)</f>
        <v/>
      </c>
      <c r="B470" s="315"/>
      <c r="C470" s="3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9"/>
    </row>
    <row r="471" spans="1:14">
      <c r="A471" s="313"/>
      <c r="B471" s="316"/>
      <c r="C471" s="31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0"/>
    </row>
    <row r="472" spans="1:14">
      <c r="A472" s="313"/>
      <c r="B472" s="316"/>
      <c r="C472" s="31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0"/>
    </row>
    <row r="473" spans="1:14">
      <c r="A473" s="313"/>
      <c r="B473" s="316"/>
      <c r="C473" s="31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0"/>
    </row>
    <row r="474" spans="1:14" ht="15" thickBot="1">
      <c r="A474" s="314"/>
      <c r="B474" s="317"/>
      <c r="C474" s="320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2"/>
    </row>
    <row r="475" spans="1:14">
      <c r="A475" s="312" t="str">
        <f>IF('Lay out'!A627="","",'Lay out'!A627)</f>
        <v/>
      </c>
      <c r="B475" s="315"/>
      <c r="C475" s="3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9"/>
    </row>
    <row r="476" spans="1:14">
      <c r="A476" s="313"/>
      <c r="B476" s="316"/>
      <c r="C476" s="31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0"/>
    </row>
    <row r="477" spans="1:14">
      <c r="A477" s="313"/>
      <c r="B477" s="316"/>
      <c r="C477" s="31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0"/>
    </row>
    <row r="478" spans="1:14">
      <c r="A478" s="313"/>
      <c r="B478" s="316"/>
      <c r="C478" s="31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0"/>
    </row>
    <row r="479" spans="1:14" ht="15" thickBot="1">
      <c r="A479" s="314"/>
      <c r="B479" s="317"/>
      <c r="C479" s="3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2"/>
    </row>
    <row r="480" spans="1:14">
      <c r="A480" s="312" t="str">
        <f>IF('Lay out'!A632="","",'Lay out'!A632)</f>
        <v/>
      </c>
      <c r="B480" s="315"/>
      <c r="C480" s="3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9"/>
    </row>
    <row r="481" spans="1:14">
      <c r="A481" s="313"/>
      <c r="B481" s="316"/>
      <c r="C481" s="31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0"/>
    </row>
    <row r="482" spans="1:14">
      <c r="A482" s="313"/>
      <c r="B482" s="316"/>
      <c r="C482" s="31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0"/>
    </row>
    <row r="483" spans="1:14">
      <c r="A483" s="313"/>
      <c r="B483" s="316"/>
      <c r="C483" s="31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0"/>
    </row>
    <row r="484" spans="1:14" ht="15" thickBot="1">
      <c r="A484" s="314"/>
      <c r="B484" s="317"/>
      <c r="C484" s="320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2"/>
    </row>
    <row r="485" spans="1:14">
      <c r="A485" s="312" t="str">
        <f>IF('Lay out'!A637="","",'Lay out'!A637)</f>
        <v/>
      </c>
      <c r="B485" s="315"/>
      <c r="C485" s="3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9"/>
    </row>
    <row r="486" spans="1:14">
      <c r="A486" s="313"/>
      <c r="B486" s="316"/>
      <c r="C486" s="31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0"/>
    </row>
    <row r="487" spans="1:14">
      <c r="A487" s="313"/>
      <c r="B487" s="316"/>
      <c r="C487" s="31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0"/>
    </row>
    <row r="488" spans="1:14">
      <c r="A488" s="313"/>
      <c r="B488" s="316"/>
      <c r="C488" s="31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0"/>
    </row>
    <row r="489" spans="1:14" ht="15" thickBot="1">
      <c r="A489" s="314"/>
      <c r="B489" s="317"/>
      <c r="C489" s="320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2"/>
    </row>
    <row r="490" spans="1:14">
      <c r="A490" s="312" t="str">
        <f>IF('Lay out'!A642="","",'Lay out'!A642)</f>
        <v/>
      </c>
      <c r="B490" s="315"/>
      <c r="C490" s="3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9"/>
    </row>
    <row r="491" spans="1:14">
      <c r="A491" s="313"/>
      <c r="B491" s="316"/>
      <c r="C491" s="31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0"/>
    </row>
    <row r="492" spans="1:14">
      <c r="A492" s="313"/>
      <c r="B492" s="316"/>
      <c r="C492" s="31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0"/>
    </row>
    <row r="493" spans="1:14">
      <c r="A493" s="313"/>
      <c r="B493" s="316"/>
      <c r="C493" s="31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0"/>
    </row>
    <row r="494" spans="1:14" ht="15" thickBot="1">
      <c r="A494" s="314"/>
      <c r="B494" s="317"/>
      <c r="C494" s="320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2"/>
    </row>
    <row r="495" spans="1:14">
      <c r="A495" s="312" t="str">
        <f>IF('Lay out'!A647="","",'Lay out'!A647)</f>
        <v/>
      </c>
      <c r="B495" s="315"/>
      <c r="C495" s="3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9"/>
    </row>
    <row r="496" spans="1:14">
      <c r="A496" s="313"/>
      <c r="B496" s="316"/>
      <c r="C496" s="31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0"/>
    </row>
    <row r="497" spans="1:14">
      <c r="A497" s="313"/>
      <c r="B497" s="316"/>
      <c r="C497" s="31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0"/>
    </row>
    <row r="498" spans="1:14">
      <c r="A498" s="313"/>
      <c r="B498" s="316"/>
      <c r="C498" s="31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0"/>
    </row>
    <row r="499" spans="1:14" ht="15" thickBot="1">
      <c r="A499" s="314"/>
      <c r="B499" s="317"/>
      <c r="C499" s="320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</row>
    <row r="500" spans="1:14">
      <c r="A500" s="312" t="str">
        <f>IF('Lay out'!A652="","",'Lay out'!A652)</f>
        <v/>
      </c>
      <c r="B500" s="315"/>
      <c r="C500" s="3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9"/>
    </row>
    <row r="501" spans="1:14">
      <c r="A501" s="313"/>
      <c r="B501" s="316"/>
      <c r="C501" s="31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0"/>
    </row>
    <row r="502" spans="1:14">
      <c r="A502" s="313"/>
      <c r="B502" s="316"/>
      <c r="C502" s="31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0"/>
    </row>
    <row r="503" spans="1:14">
      <c r="A503" s="313"/>
      <c r="B503" s="316"/>
      <c r="C503" s="31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0"/>
    </row>
    <row r="504" spans="1:14" ht="15" thickBot="1">
      <c r="A504" s="314"/>
      <c r="B504" s="317"/>
      <c r="C504" s="320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2"/>
    </row>
    <row r="505" spans="1:14">
      <c r="A505" s="312" t="str">
        <f>IF('Lay out'!A657="","",'Lay out'!A657)</f>
        <v/>
      </c>
      <c r="B505" s="315"/>
      <c r="C505" s="3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9"/>
    </row>
    <row r="506" spans="1:14">
      <c r="A506" s="313"/>
      <c r="B506" s="316"/>
      <c r="C506" s="31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0"/>
    </row>
    <row r="507" spans="1:14">
      <c r="A507" s="313"/>
      <c r="B507" s="316"/>
      <c r="C507" s="31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0"/>
    </row>
    <row r="508" spans="1:14">
      <c r="A508" s="313"/>
      <c r="B508" s="316"/>
      <c r="C508" s="31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0"/>
    </row>
    <row r="509" spans="1:14" ht="15" thickBot="1">
      <c r="A509" s="314"/>
      <c r="B509" s="317"/>
      <c r="C509" s="320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2"/>
    </row>
    <row r="510" spans="1:14">
      <c r="A510" s="312" t="str">
        <f>IF('Lay out'!A662="","",'Lay out'!A662)</f>
        <v/>
      </c>
      <c r="B510" s="315"/>
      <c r="C510" s="3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9"/>
    </row>
    <row r="511" spans="1:14">
      <c r="A511" s="313"/>
      <c r="B511" s="316"/>
      <c r="C511" s="31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0"/>
    </row>
    <row r="512" spans="1:14">
      <c r="A512" s="313"/>
      <c r="B512" s="316"/>
      <c r="C512" s="31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0"/>
    </row>
    <row r="513" spans="1:14">
      <c r="A513" s="313"/>
      <c r="B513" s="316"/>
      <c r="C513" s="31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0"/>
    </row>
    <row r="514" spans="1:14" ht="15" thickBot="1">
      <c r="A514" s="314"/>
      <c r="B514" s="317"/>
      <c r="C514" s="320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2"/>
    </row>
    <row r="515" spans="1:14" ht="15.6">
      <c r="F515" s="6">
        <f>SUM(F5:F514)</f>
        <v>0</v>
      </c>
    </row>
    <row r="517" spans="1:14">
      <c r="C517" s="2"/>
      <c r="D517" s="3" t="s">
        <v>47</v>
      </c>
      <c r="E517" s="3" t="s">
        <v>46</v>
      </c>
      <c r="F517" s="3"/>
      <c r="H517" s="3" t="s">
        <v>46</v>
      </c>
      <c r="K517" s="3" t="s">
        <v>46</v>
      </c>
      <c r="L517" s="2"/>
      <c r="N517" s="3" t="s">
        <v>46</v>
      </c>
    </row>
    <row r="518" spans="1:14">
      <c r="D518" s="1" t="s">
        <v>45</v>
      </c>
      <c r="E518" s="2" t="s">
        <v>44</v>
      </c>
      <c r="G518" s="2"/>
      <c r="H518" s="2" t="s">
        <v>43</v>
      </c>
      <c r="K518" s="2" t="s">
        <v>42</v>
      </c>
      <c r="L518" s="2"/>
      <c r="N518" s="2" t="s">
        <v>41</v>
      </c>
    </row>
  </sheetData>
  <mergeCells count="309">
    <mergeCell ref="A510:A514"/>
    <mergeCell ref="B510:B514"/>
    <mergeCell ref="C510:C514"/>
    <mergeCell ref="A500:A504"/>
    <mergeCell ref="B500:B504"/>
    <mergeCell ref="C500:C504"/>
    <mergeCell ref="A505:A509"/>
    <mergeCell ref="B505:B509"/>
    <mergeCell ref="C505:C509"/>
    <mergeCell ref="A490:A494"/>
    <mergeCell ref="B490:B494"/>
    <mergeCell ref="C490:C494"/>
    <mergeCell ref="A495:A499"/>
    <mergeCell ref="B495:B499"/>
    <mergeCell ref="C495:C499"/>
    <mergeCell ref="A480:A484"/>
    <mergeCell ref="B480:B484"/>
    <mergeCell ref="C480:C484"/>
    <mergeCell ref="A485:A489"/>
    <mergeCell ref="B485:B489"/>
    <mergeCell ref="C485:C489"/>
    <mergeCell ref="A470:A474"/>
    <mergeCell ref="B470:B474"/>
    <mergeCell ref="C470:C474"/>
    <mergeCell ref="A475:A479"/>
    <mergeCell ref="B475:B479"/>
    <mergeCell ref="C475:C479"/>
    <mergeCell ref="A460:A464"/>
    <mergeCell ref="B460:B464"/>
    <mergeCell ref="C460:C464"/>
    <mergeCell ref="A465:A469"/>
    <mergeCell ref="B465:B469"/>
    <mergeCell ref="C465:C469"/>
    <mergeCell ref="A450:A454"/>
    <mergeCell ref="B450:B454"/>
    <mergeCell ref="C450:C454"/>
    <mergeCell ref="A455:A459"/>
    <mergeCell ref="B455:B459"/>
    <mergeCell ref="C455:C459"/>
    <mergeCell ref="A440:A444"/>
    <mergeCell ref="B440:B444"/>
    <mergeCell ref="C440:C444"/>
    <mergeCell ref="A445:A449"/>
    <mergeCell ref="B445:B449"/>
    <mergeCell ref="C445:C449"/>
    <mergeCell ref="A430:A434"/>
    <mergeCell ref="B430:B434"/>
    <mergeCell ref="C430:C434"/>
    <mergeCell ref="A435:A439"/>
    <mergeCell ref="B435:B439"/>
    <mergeCell ref="C435:C439"/>
    <mergeCell ref="A420:A424"/>
    <mergeCell ref="B420:B424"/>
    <mergeCell ref="C420:C424"/>
    <mergeCell ref="A425:A429"/>
    <mergeCell ref="B425:B429"/>
    <mergeCell ref="C425:C429"/>
    <mergeCell ref="A410:A414"/>
    <mergeCell ref="B410:B414"/>
    <mergeCell ref="C410:C414"/>
    <mergeCell ref="A415:A419"/>
    <mergeCell ref="B415:B419"/>
    <mergeCell ref="C415:C419"/>
    <mergeCell ref="A400:A404"/>
    <mergeCell ref="B400:B404"/>
    <mergeCell ref="C400:C404"/>
    <mergeCell ref="A405:A409"/>
    <mergeCell ref="B405:B409"/>
    <mergeCell ref="C405:C409"/>
    <mergeCell ref="A390:A394"/>
    <mergeCell ref="B390:B394"/>
    <mergeCell ref="C390:C394"/>
    <mergeCell ref="A395:A399"/>
    <mergeCell ref="B395:B399"/>
    <mergeCell ref="C395:C399"/>
    <mergeCell ref="A380:A384"/>
    <mergeCell ref="B380:B384"/>
    <mergeCell ref="C380:C384"/>
    <mergeCell ref="A385:A389"/>
    <mergeCell ref="B385:B389"/>
    <mergeCell ref="C385:C389"/>
    <mergeCell ref="A370:A374"/>
    <mergeCell ref="B370:B374"/>
    <mergeCell ref="C370:C374"/>
    <mergeCell ref="A375:A379"/>
    <mergeCell ref="B375:B379"/>
    <mergeCell ref="C375:C379"/>
    <mergeCell ref="A360:A364"/>
    <mergeCell ref="B360:B364"/>
    <mergeCell ref="C360:C364"/>
    <mergeCell ref="A365:A369"/>
    <mergeCell ref="B365:B369"/>
    <mergeCell ref="C365:C369"/>
    <mergeCell ref="A350:A354"/>
    <mergeCell ref="B350:B354"/>
    <mergeCell ref="C350:C354"/>
    <mergeCell ref="A355:A359"/>
    <mergeCell ref="B355:B359"/>
    <mergeCell ref="C355:C359"/>
    <mergeCell ref="A340:A344"/>
    <mergeCell ref="B340:B344"/>
    <mergeCell ref="C340:C344"/>
    <mergeCell ref="A345:A349"/>
    <mergeCell ref="B345:B349"/>
    <mergeCell ref="C345:C349"/>
    <mergeCell ref="A330:A334"/>
    <mergeCell ref="B330:B334"/>
    <mergeCell ref="C330:C334"/>
    <mergeCell ref="A335:A339"/>
    <mergeCell ref="B335:B339"/>
    <mergeCell ref="C335:C339"/>
    <mergeCell ref="A320:A324"/>
    <mergeCell ref="B320:B324"/>
    <mergeCell ref="C320:C324"/>
    <mergeCell ref="A325:A329"/>
    <mergeCell ref="B325:B329"/>
    <mergeCell ref="C325:C329"/>
    <mergeCell ref="A310:A314"/>
    <mergeCell ref="B310:B314"/>
    <mergeCell ref="C310:C314"/>
    <mergeCell ref="A315:A319"/>
    <mergeCell ref="B315:B319"/>
    <mergeCell ref="C315:C319"/>
    <mergeCell ref="A300:A304"/>
    <mergeCell ref="B300:B304"/>
    <mergeCell ref="C300:C304"/>
    <mergeCell ref="A305:A309"/>
    <mergeCell ref="B305:B309"/>
    <mergeCell ref="C305:C309"/>
    <mergeCell ref="A290:A294"/>
    <mergeCell ref="B290:B294"/>
    <mergeCell ref="C290:C294"/>
    <mergeCell ref="A295:A299"/>
    <mergeCell ref="B295:B299"/>
    <mergeCell ref="C295:C299"/>
    <mergeCell ref="A280:A284"/>
    <mergeCell ref="B280:B284"/>
    <mergeCell ref="C280:C284"/>
    <mergeCell ref="A285:A289"/>
    <mergeCell ref="B285:B289"/>
    <mergeCell ref="C285:C289"/>
    <mergeCell ref="A270:A274"/>
    <mergeCell ref="B270:B274"/>
    <mergeCell ref="C270:C274"/>
    <mergeCell ref="A275:A279"/>
    <mergeCell ref="B275:B279"/>
    <mergeCell ref="C275:C279"/>
    <mergeCell ref="A260:A264"/>
    <mergeCell ref="B260:B264"/>
    <mergeCell ref="C260:C264"/>
    <mergeCell ref="A265:A269"/>
    <mergeCell ref="B265:B269"/>
    <mergeCell ref="C265:C269"/>
    <mergeCell ref="A250:A254"/>
    <mergeCell ref="B250:B254"/>
    <mergeCell ref="C250:C254"/>
    <mergeCell ref="A255:A259"/>
    <mergeCell ref="B255:B259"/>
    <mergeCell ref="C255:C259"/>
    <mergeCell ref="A240:A244"/>
    <mergeCell ref="B240:B244"/>
    <mergeCell ref="C240:C244"/>
    <mergeCell ref="A245:A249"/>
    <mergeCell ref="B245:B249"/>
    <mergeCell ref="C245:C249"/>
    <mergeCell ref="A230:A234"/>
    <mergeCell ref="B230:B234"/>
    <mergeCell ref="C230:C234"/>
    <mergeCell ref="A235:A239"/>
    <mergeCell ref="B235:B239"/>
    <mergeCell ref="C235:C239"/>
    <mergeCell ref="A220:A224"/>
    <mergeCell ref="B220:B224"/>
    <mergeCell ref="C220:C224"/>
    <mergeCell ref="A225:A229"/>
    <mergeCell ref="B225:B229"/>
    <mergeCell ref="C225:C229"/>
    <mergeCell ref="A210:A214"/>
    <mergeCell ref="B210:B214"/>
    <mergeCell ref="C210:C214"/>
    <mergeCell ref="A215:A219"/>
    <mergeCell ref="B215:B219"/>
    <mergeCell ref="C215:C219"/>
    <mergeCell ref="A200:A204"/>
    <mergeCell ref="B200:B204"/>
    <mergeCell ref="C200:C204"/>
    <mergeCell ref="A205:A209"/>
    <mergeCell ref="B205:B209"/>
    <mergeCell ref="C205:C209"/>
    <mergeCell ref="A190:A194"/>
    <mergeCell ref="B190:B194"/>
    <mergeCell ref="C190:C194"/>
    <mergeCell ref="A195:A199"/>
    <mergeCell ref="B195:B199"/>
    <mergeCell ref="C195:C199"/>
    <mergeCell ref="A180:A184"/>
    <mergeCell ref="B180:B184"/>
    <mergeCell ref="C180:C184"/>
    <mergeCell ref="A185:A189"/>
    <mergeCell ref="B185:B189"/>
    <mergeCell ref="C185:C189"/>
    <mergeCell ref="A170:A174"/>
    <mergeCell ref="B170:B174"/>
    <mergeCell ref="C170:C174"/>
    <mergeCell ref="A175:A179"/>
    <mergeCell ref="B175:B179"/>
    <mergeCell ref="C175:C179"/>
    <mergeCell ref="A160:A164"/>
    <mergeCell ref="B160:B164"/>
    <mergeCell ref="C160:C164"/>
    <mergeCell ref="A165:A169"/>
    <mergeCell ref="B165:B169"/>
    <mergeCell ref="C165:C169"/>
    <mergeCell ref="A150:A154"/>
    <mergeCell ref="B150:B154"/>
    <mergeCell ref="C150:C154"/>
    <mergeCell ref="A155:A159"/>
    <mergeCell ref="B155:B159"/>
    <mergeCell ref="C155:C159"/>
    <mergeCell ref="A140:A144"/>
    <mergeCell ref="B140:B144"/>
    <mergeCell ref="C140:C144"/>
    <mergeCell ref="A145:A149"/>
    <mergeCell ref="B145:B149"/>
    <mergeCell ref="C145:C149"/>
    <mergeCell ref="A130:A134"/>
    <mergeCell ref="B130:B134"/>
    <mergeCell ref="C130:C134"/>
    <mergeCell ref="A135:A139"/>
    <mergeCell ref="B135:B139"/>
    <mergeCell ref="C135:C139"/>
    <mergeCell ref="A120:A124"/>
    <mergeCell ref="B120:B124"/>
    <mergeCell ref="C120:C124"/>
    <mergeCell ref="A125:A129"/>
    <mergeCell ref="B125:B129"/>
    <mergeCell ref="C125:C129"/>
    <mergeCell ref="A110:A114"/>
    <mergeCell ref="B110:B114"/>
    <mergeCell ref="C110:C114"/>
    <mergeCell ref="A115:A119"/>
    <mergeCell ref="B115:B119"/>
    <mergeCell ref="C115:C119"/>
    <mergeCell ref="A100:A104"/>
    <mergeCell ref="B100:B104"/>
    <mergeCell ref="C100:C104"/>
    <mergeCell ref="A105:A109"/>
    <mergeCell ref="B105:B109"/>
    <mergeCell ref="C105:C109"/>
    <mergeCell ref="A90:A94"/>
    <mergeCell ref="B90:B94"/>
    <mergeCell ref="C90:C94"/>
    <mergeCell ref="A95:A99"/>
    <mergeCell ref="B95:B99"/>
    <mergeCell ref="C95:C99"/>
    <mergeCell ref="A80:A84"/>
    <mergeCell ref="B80:B84"/>
    <mergeCell ref="C80:C84"/>
    <mergeCell ref="A85:A89"/>
    <mergeCell ref="B85:B89"/>
    <mergeCell ref="C85:C89"/>
    <mergeCell ref="A70:A74"/>
    <mergeCell ref="B70:B74"/>
    <mergeCell ref="C70:C74"/>
    <mergeCell ref="A75:A79"/>
    <mergeCell ref="B75:B79"/>
    <mergeCell ref="C75:C79"/>
    <mergeCell ref="A60:A64"/>
    <mergeCell ref="B60:B64"/>
    <mergeCell ref="C60:C64"/>
    <mergeCell ref="A65:A69"/>
    <mergeCell ref="B65:B69"/>
    <mergeCell ref="C65:C69"/>
    <mergeCell ref="A50:A54"/>
    <mergeCell ref="B50:B54"/>
    <mergeCell ref="C50:C54"/>
    <mergeCell ref="A55:A59"/>
    <mergeCell ref="B55:B59"/>
    <mergeCell ref="C55:C59"/>
    <mergeCell ref="A40:A44"/>
    <mergeCell ref="B40:B44"/>
    <mergeCell ref="C40:C44"/>
    <mergeCell ref="A45:A49"/>
    <mergeCell ref="B45:B49"/>
    <mergeCell ref="C45:C49"/>
    <mergeCell ref="A30:A34"/>
    <mergeCell ref="B30:B34"/>
    <mergeCell ref="C30:C34"/>
    <mergeCell ref="A35:A39"/>
    <mergeCell ref="B35:B39"/>
    <mergeCell ref="C35:C39"/>
    <mergeCell ref="A20:A24"/>
    <mergeCell ref="B20:B24"/>
    <mergeCell ref="C20:C24"/>
    <mergeCell ref="A25:A29"/>
    <mergeCell ref="B25:B29"/>
    <mergeCell ref="C25:C29"/>
    <mergeCell ref="A5:A9"/>
    <mergeCell ref="A10:A14"/>
    <mergeCell ref="B10:B14"/>
    <mergeCell ref="C10:C14"/>
    <mergeCell ref="A15:A19"/>
    <mergeCell ref="B15:B19"/>
    <mergeCell ref="C15:C19"/>
    <mergeCell ref="D1:M1"/>
    <mergeCell ref="B2:C2"/>
    <mergeCell ref="B3:C3"/>
    <mergeCell ref="C5:C9"/>
    <mergeCell ref="B5:B9"/>
  </mergeCells>
  <printOptions horizontalCentered="1" verticalCentered="1"/>
  <pageMargins left="0" right="0" top="0" bottom="0" header="0" footer="0"/>
  <pageSetup paperSize="9" scale="70" fitToHeight="1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04"/>
  <sheetViews>
    <sheetView showGridLines="0" zoomScale="70" zoomScaleNormal="70" workbookViewId="0">
      <selection activeCell="Q19" sqref="Q19"/>
    </sheetView>
  </sheetViews>
  <sheetFormatPr defaultColWidth="9.109375" defaultRowHeight="14.4"/>
  <cols>
    <col min="1" max="1" width="9.109375" style="7"/>
    <col min="2" max="2" width="18.44140625" style="7" customWidth="1"/>
    <col min="3" max="3" width="44.33203125" style="7" customWidth="1"/>
    <col min="4" max="4" width="9.109375" style="7"/>
    <col min="5" max="6" width="7.5546875" style="7" customWidth="1"/>
    <col min="7" max="11" width="9.109375" style="7"/>
    <col min="12" max="12" width="10.44140625" style="7" customWidth="1"/>
    <col min="13" max="13" width="10.109375" style="7" bestFit="1" customWidth="1"/>
    <col min="14" max="14" width="9.33203125" style="7" customWidth="1"/>
    <col min="15" max="15" width="9.5546875" style="7" bestFit="1" customWidth="1"/>
    <col min="16" max="16" width="9.109375" style="7"/>
    <col min="17" max="17" width="38.5546875" style="7" customWidth="1"/>
    <col min="18" max="16384" width="9.109375" style="7"/>
  </cols>
  <sheetData>
    <row r="1" spans="1:17">
      <c r="C1" s="338" t="s">
        <v>70</v>
      </c>
      <c r="D1" s="338"/>
      <c r="E1" s="338"/>
      <c r="F1" s="338"/>
      <c r="G1" s="338"/>
      <c r="H1" s="338"/>
      <c r="I1" s="338"/>
      <c r="J1" s="338"/>
      <c r="K1" s="338"/>
    </row>
    <row r="2" spans="1:17" ht="15" thickBot="1">
      <c r="C2" s="338"/>
      <c r="D2" s="338"/>
      <c r="E2" s="338"/>
      <c r="F2" s="338"/>
      <c r="G2" s="338"/>
      <c r="H2" s="338"/>
      <c r="I2" s="338"/>
      <c r="J2" s="338"/>
      <c r="K2" s="338"/>
    </row>
    <row r="3" spans="1:17" ht="31.5" customHeight="1">
      <c r="A3" s="335" t="s">
        <v>57</v>
      </c>
      <c r="B3" s="326" t="s">
        <v>7</v>
      </c>
      <c r="C3" s="326" t="s">
        <v>56</v>
      </c>
      <c r="D3" s="326" t="s">
        <v>9</v>
      </c>
      <c r="E3" s="326" t="s">
        <v>2</v>
      </c>
      <c r="F3" s="353" t="s">
        <v>75</v>
      </c>
      <c r="G3" s="335" t="s">
        <v>62</v>
      </c>
      <c r="H3" s="326"/>
      <c r="I3" s="326"/>
      <c r="J3" s="326"/>
      <c r="K3" s="349"/>
      <c r="L3" s="346" t="s">
        <v>66</v>
      </c>
      <c r="M3" s="345" t="s">
        <v>69</v>
      </c>
      <c r="N3" s="348" t="s">
        <v>67</v>
      </c>
      <c r="O3" s="345" t="s">
        <v>68</v>
      </c>
      <c r="P3" s="343" t="s">
        <v>71</v>
      </c>
      <c r="Q3" s="331" t="s">
        <v>48</v>
      </c>
    </row>
    <row r="4" spans="1:17" ht="31.5" customHeight="1" thickBot="1">
      <c r="A4" s="337"/>
      <c r="B4" s="327"/>
      <c r="C4" s="327"/>
      <c r="D4" s="327"/>
      <c r="E4" s="327"/>
      <c r="F4" s="354"/>
      <c r="G4" s="44">
        <v>1</v>
      </c>
      <c r="H4" s="46">
        <v>2</v>
      </c>
      <c r="I4" s="46">
        <v>3</v>
      </c>
      <c r="J4" s="46">
        <v>4</v>
      </c>
      <c r="K4" s="47">
        <v>5</v>
      </c>
      <c r="L4" s="347"/>
      <c r="M4" s="344"/>
      <c r="N4" s="344"/>
      <c r="O4" s="344"/>
      <c r="P4" s="344"/>
      <c r="Q4" s="332"/>
    </row>
    <row r="5" spans="1:17">
      <c r="A5" s="335"/>
      <c r="B5" s="333"/>
      <c r="C5" s="27"/>
      <c r="D5" s="25"/>
      <c r="E5" s="25"/>
      <c r="F5" s="350">
        <f>SUM(E5:E10)</f>
        <v>0.89999999999999991</v>
      </c>
      <c r="G5" s="42"/>
      <c r="H5" s="45"/>
      <c r="I5" s="45"/>
      <c r="J5" s="45"/>
      <c r="K5" s="51"/>
      <c r="L5" s="48" t="str">
        <f>IFERROR(AVERAGE(G5:K5)/60,"")</f>
        <v/>
      </c>
      <c r="M5" s="328">
        <f>SUM(L5:L10)</f>
        <v>1.05</v>
      </c>
      <c r="N5" s="328">
        <f>IFERROR(M5*1.1,"")</f>
        <v>1.1550000000000002</v>
      </c>
      <c r="O5" s="328">
        <f>IFERROR(60/N5,"")</f>
        <v>51.948051948051933</v>
      </c>
      <c r="P5" s="340">
        <f>IFERROR(SUM(E5:E10)*O5/60,"")</f>
        <v>0.77922077922077893</v>
      </c>
      <c r="Q5" s="28"/>
    </row>
    <row r="6" spans="1:17">
      <c r="A6" s="336"/>
      <c r="B6" s="334"/>
      <c r="C6" s="24"/>
      <c r="D6" s="11"/>
      <c r="E6" s="11">
        <v>0.2</v>
      </c>
      <c r="F6" s="351"/>
      <c r="G6" s="43"/>
      <c r="H6" s="10"/>
      <c r="I6" s="10"/>
      <c r="J6" s="10"/>
      <c r="K6" s="52"/>
      <c r="L6" s="49">
        <v>0.25</v>
      </c>
      <c r="M6" s="329"/>
      <c r="N6" s="329"/>
      <c r="O6" s="329"/>
      <c r="P6" s="341"/>
      <c r="Q6" s="29"/>
    </row>
    <row r="7" spans="1:17">
      <c r="A7" s="336"/>
      <c r="B7" s="334"/>
      <c r="C7" s="24"/>
      <c r="D7" s="11"/>
      <c r="E7" s="11">
        <v>0.5</v>
      </c>
      <c r="F7" s="351"/>
      <c r="G7" s="43"/>
      <c r="H7" s="10"/>
      <c r="I7" s="10"/>
      <c r="J7" s="10"/>
      <c r="K7" s="52"/>
      <c r="L7" s="49">
        <v>0.3</v>
      </c>
      <c r="M7" s="329"/>
      <c r="N7" s="329"/>
      <c r="O7" s="329"/>
      <c r="P7" s="341"/>
      <c r="Q7" s="29"/>
    </row>
    <row r="8" spans="1:17">
      <c r="A8" s="336"/>
      <c r="B8" s="334"/>
      <c r="C8" s="24"/>
      <c r="D8" s="11"/>
      <c r="E8" s="11"/>
      <c r="F8" s="351"/>
      <c r="G8" s="43"/>
      <c r="H8" s="10"/>
      <c r="I8" s="10"/>
      <c r="J8" s="10"/>
      <c r="K8" s="52"/>
      <c r="L8" s="49">
        <v>0.4</v>
      </c>
      <c r="M8" s="329"/>
      <c r="N8" s="329"/>
      <c r="O8" s="329"/>
      <c r="P8" s="341"/>
      <c r="Q8" s="29"/>
    </row>
    <row r="9" spans="1:17">
      <c r="A9" s="336"/>
      <c r="B9" s="334"/>
      <c r="C9" s="24"/>
      <c r="D9" s="11"/>
      <c r="E9" s="11">
        <v>0.2</v>
      </c>
      <c r="F9" s="351"/>
      <c r="G9" s="43"/>
      <c r="H9" s="10"/>
      <c r="I9" s="10"/>
      <c r="J9" s="10"/>
      <c r="K9" s="52"/>
      <c r="L9" s="49">
        <v>0.1</v>
      </c>
      <c r="M9" s="329"/>
      <c r="N9" s="329"/>
      <c r="O9" s="329"/>
      <c r="P9" s="341"/>
      <c r="Q9" s="29"/>
    </row>
    <row r="10" spans="1:17" ht="15" thickBot="1">
      <c r="A10" s="337"/>
      <c r="B10" s="327"/>
      <c r="C10" s="30"/>
      <c r="D10" s="26"/>
      <c r="E10" s="26"/>
      <c r="F10" s="352"/>
      <c r="G10" s="44"/>
      <c r="H10" s="46"/>
      <c r="I10" s="46"/>
      <c r="J10" s="46"/>
      <c r="K10" s="47"/>
      <c r="L10" s="50" t="str">
        <f>IFERROR(AVERAGE(G10:K10)/60,"")</f>
        <v/>
      </c>
      <c r="M10" s="330"/>
      <c r="N10" s="330"/>
      <c r="O10" s="330"/>
      <c r="P10" s="342"/>
      <c r="Q10" s="31"/>
    </row>
    <row r="11" spans="1:17">
      <c r="A11" s="335"/>
      <c r="B11" s="339"/>
      <c r="C11" s="27"/>
      <c r="D11" s="25"/>
      <c r="E11" s="25"/>
      <c r="F11" s="350">
        <f t="shared" ref="F11" si="0">SUM(E11:E16)</f>
        <v>0</v>
      </c>
      <c r="G11" s="42"/>
      <c r="H11" s="45"/>
      <c r="I11" s="45"/>
      <c r="J11" s="45"/>
      <c r="K11" s="51"/>
      <c r="L11" s="48" t="str">
        <f>IFERROR(AVERAGE(G11:K11)/60,"")</f>
        <v/>
      </c>
      <c r="M11" s="328">
        <f>SUM(L11:L16)</f>
        <v>0</v>
      </c>
      <c r="N11" s="328">
        <f>IFERROR(M11*1.1,"")</f>
        <v>0</v>
      </c>
      <c r="O11" s="328" t="str">
        <f>IFERROR(60/N11,"")</f>
        <v/>
      </c>
      <c r="P11" s="340" t="str">
        <f t="shared" ref="P11" si="1">IFERROR(SUM(E11:E16)*O11/60,"")</f>
        <v/>
      </c>
      <c r="Q11" s="28"/>
    </row>
    <row r="12" spans="1:17">
      <c r="A12" s="336"/>
      <c r="B12" s="334"/>
      <c r="C12" s="24"/>
      <c r="D12" s="11"/>
      <c r="E12" s="11"/>
      <c r="F12" s="351"/>
      <c r="G12" s="43"/>
      <c r="H12" s="10"/>
      <c r="I12" s="10"/>
      <c r="J12" s="10"/>
      <c r="K12" s="52"/>
      <c r="L12" s="49" t="str">
        <f t="shared" ref="L12:L15" si="2">IFERROR(AVERAGE(G12:K12)/60,"")</f>
        <v/>
      </c>
      <c r="M12" s="329"/>
      <c r="N12" s="329"/>
      <c r="O12" s="329"/>
      <c r="P12" s="341"/>
      <c r="Q12" s="29"/>
    </row>
    <row r="13" spans="1:17">
      <c r="A13" s="336"/>
      <c r="B13" s="334"/>
      <c r="C13" s="24"/>
      <c r="D13" s="11"/>
      <c r="E13" s="11"/>
      <c r="F13" s="351"/>
      <c r="G13" s="43"/>
      <c r="H13" s="10"/>
      <c r="I13" s="10"/>
      <c r="J13" s="10"/>
      <c r="K13" s="52"/>
      <c r="L13" s="49" t="str">
        <f t="shared" si="2"/>
        <v/>
      </c>
      <c r="M13" s="329"/>
      <c r="N13" s="329"/>
      <c r="O13" s="329"/>
      <c r="P13" s="341"/>
      <c r="Q13" s="29"/>
    </row>
    <row r="14" spans="1:17">
      <c r="A14" s="336"/>
      <c r="B14" s="334"/>
      <c r="C14" s="24"/>
      <c r="D14" s="11"/>
      <c r="E14" s="11"/>
      <c r="F14" s="351"/>
      <c r="G14" s="43"/>
      <c r="H14" s="10"/>
      <c r="I14" s="10"/>
      <c r="J14" s="10"/>
      <c r="K14" s="52"/>
      <c r="L14" s="49" t="str">
        <f t="shared" si="2"/>
        <v/>
      </c>
      <c r="M14" s="329"/>
      <c r="N14" s="329"/>
      <c r="O14" s="329"/>
      <c r="P14" s="341"/>
      <c r="Q14" s="29"/>
    </row>
    <row r="15" spans="1:17">
      <c r="A15" s="336"/>
      <c r="B15" s="334"/>
      <c r="C15" s="24"/>
      <c r="D15" s="11"/>
      <c r="E15" s="11"/>
      <c r="F15" s="351"/>
      <c r="G15" s="43"/>
      <c r="H15" s="10"/>
      <c r="I15" s="10"/>
      <c r="J15" s="10"/>
      <c r="K15" s="52"/>
      <c r="L15" s="49" t="str">
        <f t="shared" si="2"/>
        <v/>
      </c>
      <c r="M15" s="329"/>
      <c r="N15" s="329"/>
      <c r="O15" s="329"/>
      <c r="P15" s="341"/>
      <c r="Q15" s="29"/>
    </row>
    <row r="16" spans="1:17" ht="15" thickBot="1">
      <c r="A16" s="337"/>
      <c r="B16" s="327"/>
      <c r="C16" s="30"/>
      <c r="D16" s="26"/>
      <c r="E16" s="26"/>
      <c r="F16" s="352"/>
      <c r="G16" s="44"/>
      <c r="H16" s="46"/>
      <c r="I16" s="46"/>
      <c r="J16" s="46"/>
      <c r="K16" s="47"/>
      <c r="L16" s="50" t="str">
        <f>IFERROR(AVERAGE(G16:K16)/60,"")</f>
        <v/>
      </c>
      <c r="M16" s="330"/>
      <c r="N16" s="330"/>
      <c r="O16" s="330"/>
      <c r="P16" s="342"/>
      <c r="Q16" s="31"/>
    </row>
    <row r="17" spans="1:17">
      <c r="A17" s="335"/>
      <c r="B17" s="339"/>
      <c r="C17" s="27"/>
      <c r="D17" s="25"/>
      <c r="E17" s="25"/>
      <c r="F17" s="350">
        <f t="shared" ref="F17" si="3">SUM(E17:E22)</f>
        <v>0</v>
      </c>
      <c r="G17" s="42"/>
      <c r="H17" s="45"/>
      <c r="I17" s="45"/>
      <c r="J17" s="45"/>
      <c r="K17" s="51"/>
      <c r="L17" s="48" t="str">
        <f>IFERROR(AVERAGE(G17:K17)/60,"")</f>
        <v/>
      </c>
      <c r="M17" s="328">
        <f>SUM(L17:L22)</f>
        <v>0</v>
      </c>
      <c r="N17" s="328">
        <f>IFERROR(M17*1.1,"")</f>
        <v>0</v>
      </c>
      <c r="O17" s="328" t="str">
        <f>IFERROR(60/N17,"")</f>
        <v/>
      </c>
      <c r="P17" s="340" t="str">
        <f t="shared" ref="P17" si="4">IFERROR(SUM(E17:E22)*O17/60,"")</f>
        <v/>
      </c>
      <c r="Q17" s="28"/>
    </row>
    <row r="18" spans="1:17">
      <c r="A18" s="336"/>
      <c r="B18" s="334"/>
      <c r="C18" s="24"/>
      <c r="D18" s="11"/>
      <c r="E18" s="11"/>
      <c r="F18" s="351"/>
      <c r="G18" s="43"/>
      <c r="H18" s="10"/>
      <c r="I18" s="10"/>
      <c r="J18" s="10"/>
      <c r="K18" s="52"/>
      <c r="L18" s="49" t="str">
        <f t="shared" ref="L18:L21" si="5">IFERROR(AVERAGE(G18:K18)/60,"")</f>
        <v/>
      </c>
      <c r="M18" s="329"/>
      <c r="N18" s="329"/>
      <c r="O18" s="329"/>
      <c r="P18" s="341"/>
      <c r="Q18" s="29"/>
    </row>
    <row r="19" spans="1:17">
      <c r="A19" s="336"/>
      <c r="B19" s="334"/>
      <c r="C19" s="24"/>
      <c r="D19" s="11"/>
      <c r="E19" s="11"/>
      <c r="F19" s="351"/>
      <c r="G19" s="43"/>
      <c r="H19" s="10"/>
      <c r="I19" s="10"/>
      <c r="J19" s="10"/>
      <c r="K19" s="52"/>
      <c r="L19" s="49" t="str">
        <f t="shared" si="5"/>
        <v/>
      </c>
      <c r="M19" s="329"/>
      <c r="N19" s="329"/>
      <c r="O19" s="329"/>
      <c r="P19" s="341"/>
      <c r="Q19" s="29"/>
    </row>
    <row r="20" spans="1:17">
      <c r="A20" s="336"/>
      <c r="B20" s="334"/>
      <c r="C20" s="24"/>
      <c r="D20" s="11"/>
      <c r="E20" s="11"/>
      <c r="F20" s="351"/>
      <c r="G20" s="43"/>
      <c r="H20" s="10"/>
      <c r="I20" s="10"/>
      <c r="J20" s="10"/>
      <c r="K20" s="52"/>
      <c r="L20" s="49" t="str">
        <f t="shared" si="5"/>
        <v/>
      </c>
      <c r="M20" s="329"/>
      <c r="N20" s="329"/>
      <c r="O20" s="329"/>
      <c r="P20" s="341"/>
      <c r="Q20" s="29"/>
    </row>
    <row r="21" spans="1:17">
      <c r="A21" s="336"/>
      <c r="B21" s="334"/>
      <c r="C21" s="24"/>
      <c r="D21" s="11"/>
      <c r="E21" s="11"/>
      <c r="F21" s="351"/>
      <c r="G21" s="43"/>
      <c r="H21" s="10"/>
      <c r="I21" s="10"/>
      <c r="J21" s="10"/>
      <c r="K21" s="52"/>
      <c r="L21" s="49" t="str">
        <f t="shared" si="5"/>
        <v/>
      </c>
      <c r="M21" s="329"/>
      <c r="N21" s="329"/>
      <c r="O21" s="329"/>
      <c r="P21" s="341"/>
      <c r="Q21" s="29"/>
    </row>
    <row r="22" spans="1:17" ht="15" thickBot="1">
      <c r="A22" s="337"/>
      <c r="B22" s="327"/>
      <c r="C22" s="30"/>
      <c r="D22" s="26"/>
      <c r="E22" s="26"/>
      <c r="F22" s="352"/>
      <c r="G22" s="44"/>
      <c r="H22" s="46"/>
      <c r="I22" s="46"/>
      <c r="J22" s="46"/>
      <c r="K22" s="47"/>
      <c r="L22" s="50" t="str">
        <f>IFERROR(AVERAGE(G22:K22)/60,"")</f>
        <v/>
      </c>
      <c r="M22" s="330"/>
      <c r="N22" s="330"/>
      <c r="O22" s="330"/>
      <c r="P22" s="342"/>
      <c r="Q22" s="31"/>
    </row>
    <row r="23" spans="1:17">
      <c r="A23" s="335"/>
      <c r="B23" s="339"/>
      <c r="C23" s="27"/>
      <c r="D23" s="25"/>
      <c r="E23" s="25"/>
      <c r="F23" s="350">
        <f t="shared" ref="F23" si="6">SUM(E23:E28)</f>
        <v>0</v>
      </c>
      <c r="G23" s="42"/>
      <c r="H23" s="45"/>
      <c r="I23" s="45"/>
      <c r="J23" s="45"/>
      <c r="K23" s="51"/>
      <c r="L23" s="48" t="str">
        <f>IFERROR(AVERAGE(G23:K23)/60,"")</f>
        <v/>
      </c>
      <c r="M23" s="328">
        <f>SUM(L23:L28)</f>
        <v>0</v>
      </c>
      <c r="N23" s="328">
        <f>IFERROR(M23*1.1,"")</f>
        <v>0</v>
      </c>
      <c r="O23" s="328" t="str">
        <f>IFERROR(60/N23,"")</f>
        <v/>
      </c>
      <c r="P23" s="340" t="str">
        <f t="shared" ref="P23" si="7">IFERROR(SUM(E23:E28)*O23/60,"")</f>
        <v/>
      </c>
      <c r="Q23" s="28"/>
    </row>
    <row r="24" spans="1:17">
      <c r="A24" s="336"/>
      <c r="B24" s="334"/>
      <c r="C24" s="24"/>
      <c r="D24" s="11"/>
      <c r="E24" s="11"/>
      <c r="F24" s="351"/>
      <c r="G24" s="43"/>
      <c r="H24" s="10"/>
      <c r="I24" s="10"/>
      <c r="J24" s="10"/>
      <c r="K24" s="52"/>
      <c r="L24" s="49" t="str">
        <f t="shared" ref="L24:L27" si="8">IFERROR(AVERAGE(G24:K24)/60,"")</f>
        <v/>
      </c>
      <c r="M24" s="329"/>
      <c r="N24" s="329"/>
      <c r="O24" s="329"/>
      <c r="P24" s="341"/>
      <c r="Q24" s="29"/>
    </row>
    <row r="25" spans="1:17">
      <c r="A25" s="336"/>
      <c r="B25" s="334"/>
      <c r="C25" s="24"/>
      <c r="D25" s="11"/>
      <c r="E25" s="11"/>
      <c r="F25" s="351"/>
      <c r="G25" s="43"/>
      <c r="H25" s="10"/>
      <c r="I25" s="10"/>
      <c r="J25" s="10"/>
      <c r="K25" s="52"/>
      <c r="L25" s="49" t="str">
        <f t="shared" si="8"/>
        <v/>
      </c>
      <c r="M25" s="329"/>
      <c r="N25" s="329"/>
      <c r="O25" s="329"/>
      <c r="P25" s="341"/>
      <c r="Q25" s="29"/>
    </row>
    <row r="26" spans="1:17">
      <c r="A26" s="336"/>
      <c r="B26" s="334"/>
      <c r="C26" s="24"/>
      <c r="D26" s="11"/>
      <c r="E26" s="11"/>
      <c r="F26" s="351"/>
      <c r="G26" s="43"/>
      <c r="H26" s="10"/>
      <c r="I26" s="10"/>
      <c r="J26" s="10"/>
      <c r="K26" s="52"/>
      <c r="L26" s="49" t="str">
        <f t="shared" si="8"/>
        <v/>
      </c>
      <c r="M26" s="329"/>
      <c r="N26" s="329"/>
      <c r="O26" s="329"/>
      <c r="P26" s="341"/>
      <c r="Q26" s="29"/>
    </row>
    <row r="27" spans="1:17">
      <c r="A27" s="336"/>
      <c r="B27" s="334"/>
      <c r="C27" s="24"/>
      <c r="D27" s="11"/>
      <c r="E27" s="11"/>
      <c r="F27" s="351"/>
      <c r="G27" s="43"/>
      <c r="H27" s="10"/>
      <c r="I27" s="10"/>
      <c r="J27" s="10"/>
      <c r="K27" s="52"/>
      <c r="L27" s="49" t="str">
        <f t="shared" si="8"/>
        <v/>
      </c>
      <c r="M27" s="329"/>
      <c r="N27" s="329"/>
      <c r="O27" s="329"/>
      <c r="P27" s="341"/>
      <c r="Q27" s="29"/>
    </row>
    <row r="28" spans="1:17" ht="15" thickBot="1">
      <c r="A28" s="337"/>
      <c r="B28" s="327"/>
      <c r="C28" s="30"/>
      <c r="D28" s="26"/>
      <c r="E28" s="26"/>
      <c r="F28" s="352"/>
      <c r="G28" s="44"/>
      <c r="H28" s="46"/>
      <c r="I28" s="46"/>
      <c r="J28" s="46"/>
      <c r="K28" s="47"/>
      <c r="L28" s="50" t="str">
        <f>IFERROR(AVERAGE(G28:K28)/60,"")</f>
        <v/>
      </c>
      <c r="M28" s="330"/>
      <c r="N28" s="330"/>
      <c r="O28" s="330"/>
      <c r="P28" s="342"/>
      <c r="Q28" s="31"/>
    </row>
    <row r="29" spans="1:17">
      <c r="A29" s="335"/>
      <c r="B29" s="339"/>
      <c r="C29" s="27"/>
      <c r="D29" s="25"/>
      <c r="E29" s="25"/>
      <c r="F29" s="350">
        <f t="shared" ref="F29" si="9">SUM(E29:E34)</f>
        <v>0</v>
      </c>
      <c r="G29" s="42"/>
      <c r="H29" s="45"/>
      <c r="I29" s="45"/>
      <c r="J29" s="45"/>
      <c r="K29" s="51"/>
      <c r="L29" s="48" t="str">
        <f>IFERROR(AVERAGE(G29:K29)/60,"")</f>
        <v/>
      </c>
      <c r="M29" s="328">
        <f>SUM(L29:L34)</f>
        <v>0</v>
      </c>
      <c r="N29" s="328">
        <f>IFERROR(M29*1.1,"")</f>
        <v>0</v>
      </c>
      <c r="O29" s="328" t="str">
        <f>IFERROR(60/N29,"")</f>
        <v/>
      </c>
      <c r="P29" s="340" t="str">
        <f t="shared" ref="P29" si="10">IFERROR(SUM(E29:E34)*O29/60,"")</f>
        <v/>
      </c>
      <c r="Q29" s="28"/>
    </row>
    <row r="30" spans="1:17">
      <c r="A30" s="336"/>
      <c r="B30" s="334"/>
      <c r="C30" s="24"/>
      <c r="D30" s="11"/>
      <c r="E30" s="11"/>
      <c r="F30" s="351"/>
      <c r="G30" s="43"/>
      <c r="H30" s="10"/>
      <c r="I30" s="10"/>
      <c r="J30" s="10"/>
      <c r="K30" s="52"/>
      <c r="L30" s="49" t="str">
        <f t="shared" ref="L30:L33" si="11">IFERROR(AVERAGE(G30:K30)/60,"")</f>
        <v/>
      </c>
      <c r="M30" s="329"/>
      <c r="N30" s="329"/>
      <c r="O30" s="329"/>
      <c r="P30" s="341"/>
      <c r="Q30" s="29"/>
    </row>
    <row r="31" spans="1:17">
      <c r="A31" s="336"/>
      <c r="B31" s="334"/>
      <c r="C31" s="24"/>
      <c r="D31" s="11"/>
      <c r="E31" s="11"/>
      <c r="F31" s="351"/>
      <c r="G31" s="43"/>
      <c r="H31" s="10"/>
      <c r="I31" s="10"/>
      <c r="J31" s="10"/>
      <c r="K31" s="52"/>
      <c r="L31" s="49" t="str">
        <f t="shared" si="11"/>
        <v/>
      </c>
      <c r="M31" s="329"/>
      <c r="N31" s="329"/>
      <c r="O31" s="329"/>
      <c r="P31" s="341"/>
      <c r="Q31" s="29"/>
    </row>
    <row r="32" spans="1:17">
      <c r="A32" s="336"/>
      <c r="B32" s="334"/>
      <c r="C32" s="24"/>
      <c r="D32" s="11"/>
      <c r="E32" s="11"/>
      <c r="F32" s="351"/>
      <c r="G32" s="43"/>
      <c r="H32" s="10"/>
      <c r="I32" s="10"/>
      <c r="J32" s="10"/>
      <c r="K32" s="52"/>
      <c r="L32" s="49" t="str">
        <f t="shared" si="11"/>
        <v/>
      </c>
      <c r="M32" s="329"/>
      <c r="N32" s="329"/>
      <c r="O32" s="329"/>
      <c r="P32" s="341"/>
      <c r="Q32" s="29"/>
    </row>
    <row r="33" spans="1:17">
      <c r="A33" s="336"/>
      <c r="B33" s="334"/>
      <c r="C33" s="24"/>
      <c r="D33" s="11"/>
      <c r="E33" s="11"/>
      <c r="F33" s="351"/>
      <c r="G33" s="43"/>
      <c r="H33" s="10"/>
      <c r="I33" s="10"/>
      <c r="J33" s="10"/>
      <c r="K33" s="52"/>
      <c r="L33" s="49" t="str">
        <f t="shared" si="11"/>
        <v/>
      </c>
      <c r="M33" s="329"/>
      <c r="N33" s="329"/>
      <c r="O33" s="329"/>
      <c r="P33" s="341"/>
      <c r="Q33" s="29"/>
    </row>
    <row r="34" spans="1:17" ht="15" thickBot="1">
      <c r="A34" s="337"/>
      <c r="B34" s="327"/>
      <c r="C34" s="30"/>
      <c r="D34" s="26"/>
      <c r="E34" s="26"/>
      <c r="F34" s="352"/>
      <c r="G34" s="44"/>
      <c r="H34" s="46"/>
      <c r="I34" s="46"/>
      <c r="J34" s="46"/>
      <c r="K34" s="47"/>
      <c r="L34" s="50" t="str">
        <f>IFERROR(AVERAGE(G34:K34)/60,"")</f>
        <v/>
      </c>
      <c r="M34" s="330"/>
      <c r="N34" s="330"/>
      <c r="O34" s="330"/>
      <c r="P34" s="342"/>
      <c r="Q34" s="31"/>
    </row>
    <row r="35" spans="1:17">
      <c r="A35" s="335"/>
      <c r="B35" s="339"/>
      <c r="C35" s="27"/>
      <c r="D35" s="25"/>
      <c r="E35" s="25"/>
      <c r="F35" s="350">
        <f t="shared" ref="F35" si="12">SUM(E35:E40)</f>
        <v>0</v>
      </c>
      <c r="G35" s="42"/>
      <c r="H35" s="45"/>
      <c r="I35" s="45"/>
      <c r="J35" s="45"/>
      <c r="K35" s="51"/>
      <c r="L35" s="48" t="str">
        <f>IFERROR(AVERAGE(G35:K35)/60,"")</f>
        <v/>
      </c>
      <c r="M35" s="328">
        <f>SUM(L35:L40)</f>
        <v>0</v>
      </c>
      <c r="N35" s="328">
        <f>IFERROR(M35*1.1,"")</f>
        <v>0</v>
      </c>
      <c r="O35" s="328" t="str">
        <f>IFERROR(60/N35,"")</f>
        <v/>
      </c>
      <c r="P35" s="340" t="str">
        <f>IFERROR(SUM(E35:E40)*O35/60,"")</f>
        <v/>
      </c>
      <c r="Q35" s="28"/>
    </row>
    <row r="36" spans="1:17">
      <c r="A36" s="336"/>
      <c r="B36" s="334"/>
      <c r="C36" s="24"/>
      <c r="D36" s="11"/>
      <c r="E36" s="11"/>
      <c r="F36" s="351"/>
      <c r="G36" s="43"/>
      <c r="H36" s="10"/>
      <c r="I36" s="10"/>
      <c r="J36" s="10"/>
      <c r="K36" s="52"/>
      <c r="L36" s="49" t="str">
        <f t="shared" ref="L36:L39" si="13">IFERROR(AVERAGE(G36:K36)/60,"")</f>
        <v/>
      </c>
      <c r="M36" s="329"/>
      <c r="N36" s="329"/>
      <c r="O36" s="329"/>
      <c r="P36" s="341"/>
      <c r="Q36" s="29"/>
    </row>
    <row r="37" spans="1:17">
      <c r="A37" s="336"/>
      <c r="B37" s="334"/>
      <c r="C37" s="24"/>
      <c r="D37" s="11"/>
      <c r="E37" s="11"/>
      <c r="F37" s="351"/>
      <c r="G37" s="43"/>
      <c r="H37" s="10"/>
      <c r="I37" s="10"/>
      <c r="J37" s="10"/>
      <c r="K37" s="52"/>
      <c r="L37" s="49" t="str">
        <f t="shared" si="13"/>
        <v/>
      </c>
      <c r="M37" s="329"/>
      <c r="N37" s="329"/>
      <c r="O37" s="329"/>
      <c r="P37" s="341"/>
      <c r="Q37" s="29"/>
    </row>
    <row r="38" spans="1:17">
      <c r="A38" s="336"/>
      <c r="B38" s="334"/>
      <c r="C38" s="24"/>
      <c r="D38" s="11"/>
      <c r="E38" s="11"/>
      <c r="F38" s="351"/>
      <c r="G38" s="43"/>
      <c r="H38" s="10"/>
      <c r="I38" s="10"/>
      <c r="J38" s="10"/>
      <c r="K38" s="52"/>
      <c r="L38" s="49" t="str">
        <f t="shared" si="13"/>
        <v/>
      </c>
      <c r="M38" s="329"/>
      <c r="N38" s="329"/>
      <c r="O38" s="329"/>
      <c r="P38" s="341"/>
      <c r="Q38" s="29"/>
    </row>
    <row r="39" spans="1:17">
      <c r="A39" s="336"/>
      <c r="B39" s="334"/>
      <c r="C39" s="24"/>
      <c r="D39" s="11"/>
      <c r="E39" s="11"/>
      <c r="F39" s="351"/>
      <c r="G39" s="43"/>
      <c r="H39" s="10"/>
      <c r="I39" s="10"/>
      <c r="J39" s="10"/>
      <c r="K39" s="52"/>
      <c r="L39" s="49" t="str">
        <f t="shared" si="13"/>
        <v/>
      </c>
      <c r="M39" s="329"/>
      <c r="N39" s="329"/>
      <c r="O39" s="329"/>
      <c r="P39" s="341"/>
      <c r="Q39" s="29"/>
    </row>
    <row r="40" spans="1:17" ht="15" thickBot="1">
      <c r="A40" s="337"/>
      <c r="B40" s="327"/>
      <c r="C40" s="30"/>
      <c r="D40" s="26"/>
      <c r="E40" s="26"/>
      <c r="F40" s="352"/>
      <c r="G40" s="44"/>
      <c r="H40" s="46"/>
      <c r="I40" s="46"/>
      <c r="J40" s="46"/>
      <c r="K40" s="47"/>
      <c r="L40" s="50" t="str">
        <f>IFERROR(AVERAGE(G40:K40)/60,"")</f>
        <v/>
      </c>
      <c r="M40" s="330"/>
      <c r="N40" s="330"/>
      <c r="O40" s="330"/>
      <c r="P40" s="342"/>
      <c r="Q40" s="31"/>
    </row>
    <row r="41" spans="1:17">
      <c r="A41" s="335"/>
      <c r="B41" s="339"/>
      <c r="C41" s="27"/>
      <c r="D41" s="25"/>
      <c r="E41" s="25"/>
      <c r="F41" s="350">
        <f t="shared" ref="F41" si="14">SUM(E41:E46)</f>
        <v>0</v>
      </c>
      <c r="G41" s="42"/>
      <c r="H41" s="45"/>
      <c r="I41" s="45"/>
      <c r="J41" s="45"/>
      <c r="K41" s="51"/>
      <c r="L41" s="48" t="str">
        <f>IFERROR(AVERAGE(G41:K41)/60,"")</f>
        <v/>
      </c>
      <c r="M41" s="328">
        <f>SUM(L41:L46)</f>
        <v>0</v>
      </c>
      <c r="N41" s="328">
        <f>IFERROR(M41*1.1,"")</f>
        <v>0</v>
      </c>
      <c r="O41" s="328" t="str">
        <f>IFERROR(60/N41,"")</f>
        <v/>
      </c>
      <c r="P41" s="340" t="str">
        <f t="shared" ref="P41" si="15">IFERROR(SUM(E41:E46)*O41/60,"")</f>
        <v/>
      </c>
      <c r="Q41" s="28"/>
    </row>
    <row r="42" spans="1:17">
      <c r="A42" s="336"/>
      <c r="B42" s="334"/>
      <c r="C42" s="24"/>
      <c r="D42" s="11"/>
      <c r="E42" s="11"/>
      <c r="F42" s="351"/>
      <c r="G42" s="43"/>
      <c r="H42" s="10"/>
      <c r="I42" s="10"/>
      <c r="J42" s="10"/>
      <c r="K42" s="52"/>
      <c r="L42" s="49" t="str">
        <f t="shared" ref="L42:L45" si="16">IFERROR(AVERAGE(G42:K42)/60,"")</f>
        <v/>
      </c>
      <c r="M42" s="329"/>
      <c r="N42" s="329"/>
      <c r="O42" s="329"/>
      <c r="P42" s="341"/>
      <c r="Q42" s="29"/>
    </row>
    <row r="43" spans="1:17">
      <c r="A43" s="336"/>
      <c r="B43" s="334"/>
      <c r="C43" s="24"/>
      <c r="D43" s="11"/>
      <c r="E43" s="11"/>
      <c r="F43" s="351"/>
      <c r="G43" s="43"/>
      <c r="H43" s="10"/>
      <c r="I43" s="10"/>
      <c r="J43" s="10"/>
      <c r="K43" s="52"/>
      <c r="L43" s="49" t="str">
        <f t="shared" si="16"/>
        <v/>
      </c>
      <c r="M43" s="329"/>
      <c r="N43" s="329"/>
      <c r="O43" s="329"/>
      <c r="P43" s="341"/>
      <c r="Q43" s="29"/>
    </row>
    <row r="44" spans="1:17">
      <c r="A44" s="336"/>
      <c r="B44" s="334"/>
      <c r="C44" s="24"/>
      <c r="D44" s="11"/>
      <c r="E44" s="11"/>
      <c r="F44" s="351"/>
      <c r="G44" s="43"/>
      <c r="H44" s="10"/>
      <c r="I44" s="10"/>
      <c r="J44" s="10"/>
      <c r="K44" s="52"/>
      <c r="L44" s="49" t="str">
        <f t="shared" si="16"/>
        <v/>
      </c>
      <c r="M44" s="329"/>
      <c r="N44" s="329"/>
      <c r="O44" s="329"/>
      <c r="P44" s="341"/>
      <c r="Q44" s="29"/>
    </row>
    <row r="45" spans="1:17">
      <c r="A45" s="336"/>
      <c r="B45" s="334"/>
      <c r="C45" s="24"/>
      <c r="D45" s="11"/>
      <c r="E45" s="11"/>
      <c r="F45" s="351"/>
      <c r="G45" s="43"/>
      <c r="H45" s="10"/>
      <c r="I45" s="10"/>
      <c r="J45" s="10"/>
      <c r="K45" s="52"/>
      <c r="L45" s="49" t="str">
        <f t="shared" si="16"/>
        <v/>
      </c>
      <c r="M45" s="329"/>
      <c r="N45" s="329"/>
      <c r="O45" s="329"/>
      <c r="P45" s="341"/>
      <c r="Q45" s="29"/>
    </row>
    <row r="46" spans="1:17" ht="15" thickBot="1">
      <c r="A46" s="337"/>
      <c r="B46" s="327"/>
      <c r="C46" s="30"/>
      <c r="D46" s="26"/>
      <c r="E46" s="26"/>
      <c r="F46" s="352"/>
      <c r="G46" s="44"/>
      <c r="H46" s="46"/>
      <c r="I46" s="46"/>
      <c r="J46" s="46"/>
      <c r="K46" s="47"/>
      <c r="L46" s="50" t="str">
        <f>IFERROR(AVERAGE(G46:K46)/60,"")</f>
        <v/>
      </c>
      <c r="M46" s="330"/>
      <c r="N46" s="330"/>
      <c r="O46" s="330"/>
      <c r="P46" s="342"/>
      <c r="Q46" s="31"/>
    </row>
    <row r="47" spans="1:17">
      <c r="A47" s="335"/>
      <c r="B47" s="339"/>
      <c r="C47" s="27"/>
      <c r="D47" s="25"/>
      <c r="E47" s="25"/>
      <c r="F47" s="350">
        <f t="shared" ref="F47" si="17">SUM(E47:E52)</f>
        <v>0</v>
      </c>
      <c r="G47" s="42"/>
      <c r="H47" s="45"/>
      <c r="I47" s="45"/>
      <c r="J47" s="45"/>
      <c r="K47" s="51"/>
      <c r="L47" s="48" t="str">
        <f>IFERROR(AVERAGE(G47:K47)/60,"")</f>
        <v/>
      </c>
      <c r="M47" s="328">
        <f>SUM(L47:L52)</f>
        <v>0</v>
      </c>
      <c r="N47" s="328">
        <f>IFERROR(M47*1.1,"")</f>
        <v>0</v>
      </c>
      <c r="O47" s="328" t="str">
        <f>IFERROR(60/N47,"")</f>
        <v/>
      </c>
      <c r="P47" s="340" t="str">
        <f t="shared" ref="P47" si="18">IFERROR(SUM(E47:E52)*O47/60,"")</f>
        <v/>
      </c>
      <c r="Q47" s="28"/>
    </row>
    <row r="48" spans="1:17">
      <c r="A48" s="336"/>
      <c r="B48" s="334"/>
      <c r="C48" s="24"/>
      <c r="D48" s="11"/>
      <c r="E48" s="11"/>
      <c r="F48" s="351"/>
      <c r="G48" s="43"/>
      <c r="H48" s="10"/>
      <c r="I48" s="10"/>
      <c r="J48" s="10"/>
      <c r="K48" s="52"/>
      <c r="L48" s="49" t="str">
        <f t="shared" ref="L48:L51" si="19">IFERROR(AVERAGE(G48:K48)/60,"")</f>
        <v/>
      </c>
      <c r="M48" s="329"/>
      <c r="N48" s="329"/>
      <c r="O48" s="329"/>
      <c r="P48" s="341"/>
      <c r="Q48" s="29"/>
    </row>
    <row r="49" spans="1:17">
      <c r="A49" s="336"/>
      <c r="B49" s="334"/>
      <c r="C49" s="24"/>
      <c r="D49" s="11"/>
      <c r="E49" s="11"/>
      <c r="F49" s="351"/>
      <c r="G49" s="43"/>
      <c r="H49" s="10"/>
      <c r="I49" s="10"/>
      <c r="J49" s="10"/>
      <c r="K49" s="52"/>
      <c r="L49" s="49" t="str">
        <f t="shared" si="19"/>
        <v/>
      </c>
      <c r="M49" s="329"/>
      <c r="N49" s="329"/>
      <c r="O49" s="329"/>
      <c r="P49" s="341"/>
      <c r="Q49" s="29"/>
    </row>
    <row r="50" spans="1:17">
      <c r="A50" s="336"/>
      <c r="B50" s="334"/>
      <c r="C50" s="24"/>
      <c r="D50" s="11"/>
      <c r="E50" s="11"/>
      <c r="F50" s="351"/>
      <c r="G50" s="43"/>
      <c r="H50" s="10"/>
      <c r="I50" s="10"/>
      <c r="J50" s="10"/>
      <c r="K50" s="52"/>
      <c r="L50" s="49" t="str">
        <f t="shared" si="19"/>
        <v/>
      </c>
      <c r="M50" s="329"/>
      <c r="N50" s="329"/>
      <c r="O50" s="329"/>
      <c r="P50" s="341"/>
      <c r="Q50" s="29"/>
    </row>
    <row r="51" spans="1:17">
      <c r="A51" s="336"/>
      <c r="B51" s="334"/>
      <c r="C51" s="24"/>
      <c r="D51" s="11"/>
      <c r="E51" s="11"/>
      <c r="F51" s="351"/>
      <c r="G51" s="43"/>
      <c r="H51" s="10"/>
      <c r="I51" s="10"/>
      <c r="J51" s="10"/>
      <c r="K51" s="52"/>
      <c r="L51" s="49" t="str">
        <f t="shared" si="19"/>
        <v/>
      </c>
      <c r="M51" s="329"/>
      <c r="N51" s="329"/>
      <c r="O51" s="329"/>
      <c r="P51" s="341"/>
      <c r="Q51" s="29"/>
    </row>
    <row r="52" spans="1:17" ht="15" thickBot="1">
      <c r="A52" s="337"/>
      <c r="B52" s="327"/>
      <c r="C52" s="30"/>
      <c r="D52" s="26"/>
      <c r="E52" s="26"/>
      <c r="F52" s="352"/>
      <c r="G52" s="44"/>
      <c r="H52" s="46"/>
      <c r="I52" s="46"/>
      <c r="J52" s="46"/>
      <c r="K52" s="47"/>
      <c r="L52" s="50" t="str">
        <f>IFERROR(AVERAGE(G52:K52)/60,"")</f>
        <v/>
      </c>
      <c r="M52" s="330"/>
      <c r="N52" s="330"/>
      <c r="O52" s="330"/>
      <c r="P52" s="342"/>
      <c r="Q52" s="31"/>
    </row>
    <row r="53" spans="1:17">
      <c r="A53" s="335"/>
      <c r="B53" s="326"/>
      <c r="C53" s="27"/>
      <c r="D53" s="25"/>
      <c r="E53" s="25"/>
      <c r="F53" s="350">
        <f t="shared" ref="F53" si="20">SUM(E53:E58)</f>
        <v>0</v>
      </c>
      <c r="G53" s="42"/>
      <c r="H53" s="45"/>
      <c r="I53" s="45"/>
      <c r="J53" s="45"/>
      <c r="K53" s="51"/>
      <c r="L53" s="48" t="str">
        <f>IFERROR(AVERAGE(G53:K53)/60,"")</f>
        <v/>
      </c>
      <c r="M53" s="328">
        <f>SUM(L53:L58)</f>
        <v>0</v>
      </c>
      <c r="N53" s="328">
        <f>IFERROR(M53*1.1,"")</f>
        <v>0</v>
      </c>
      <c r="O53" s="328" t="str">
        <f>IFERROR(60/N53,"")</f>
        <v/>
      </c>
      <c r="P53" s="340" t="str">
        <f t="shared" ref="P53" si="21">IFERROR(SUM(E53:E58)*O53/60,"")</f>
        <v/>
      </c>
      <c r="Q53" s="28"/>
    </row>
    <row r="54" spans="1:17">
      <c r="A54" s="336"/>
      <c r="B54" s="334"/>
      <c r="C54" s="24"/>
      <c r="D54" s="11"/>
      <c r="E54" s="11"/>
      <c r="F54" s="351"/>
      <c r="G54" s="43"/>
      <c r="H54" s="10"/>
      <c r="I54" s="10"/>
      <c r="J54" s="10"/>
      <c r="K54" s="52"/>
      <c r="L54" s="49" t="str">
        <f t="shared" ref="L54:L57" si="22">IFERROR(AVERAGE(G54:K54)/60,"")</f>
        <v/>
      </c>
      <c r="M54" s="329"/>
      <c r="N54" s="329"/>
      <c r="O54" s="329"/>
      <c r="P54" s="341"/>
      <c r="Q54" s="29"/>
    </row>
    <row r="55" spans="1:17">
      <c r="A55" s="336"/>
      <c r="B55" s="334"/>
      <c r="C55" s="24"/>
      <c r="D55" s="11"/>
      <c r="E55" s="11"/>
      <c r="F55" s="351"/>
      <c r="G55" s="43"/>
      <c r="H55" s="10"/>
      <c r="I55" s="10"/>
      <c r="J55" s="10"/>
      <c r="K55" s="52"/>
      <c r="L55" s="49" t="str">
        <f t="shared" si="22"/>
        <v/>
      </c>
      <c r="M55" s="329"/>
      <c r="N55" s="329"/>
      <c r="O55" s="329"/>
      <c r="P55" s="341"/>
      <c r="Q55" s="29"/>
    </row>
    <row r="56" spans="1:17">
      <c r="A56" s="336"/>
      <c r="B56" s="334"/>
      <c r="C56" s="24"/>
      <c r="D56" s="11"/>
      <c r="E56" s="11"/>
      <c r="F56" s="351"/>
      <c r="G56" s="43"/>
      <c r="H56" s="10"/>
      <c r="I56" s="10"/>
      <c r="J56" s="10"/>
      <c r="K56" s="52"/>
      <c r="L56" s="49" t="str">
        <f t="shared" si="22"/>
        <v/>
      </c>
      <c r="M56" s="329"/>
      <c r="N56" s="329"/>
      <c r="O56" s="329"/>
      <c r="P56" s="341"/>
      <c r="Q56" s="29"/>
    </row>
    <row r="57" spans="1:17">
      <c r="A57" s="336"/>
      <c r="B57" s="334"/>
      <c r="C57" s="24"/>
      <c r="D57" s="11"/>
      <c r="E57" s="11"/>
      <c r="F57" s="351"/>
      <c r="G57" s="43"/>
      <c r="H57" s="10"/>
      <c r="I57" s="10"/>
      <c r="J57" s="10"/>
      <c r="K57" s="52"/>
      <c r="L57" s="49" t="str">
        <f t="shared" si="22"/>
        <v/>
      </c>
      <c r="M57" s="329"/>
      <c r="N57" s="329"/>
      <c r="O57" s="329"/>
      <c r="P57" s="341"/>
      <c r="Q57" s="29"/>
    </row>
    <row r="58" spans="1:17" ht="15" thickBot="1">
      <c r="A58" s="337"/>
      <c r="B58" s="327"/>
      <c r="C58" s="30"/>
      <c r="D58" s="26"/>
      <c r="E58" s="26"/>
      <c r="F58" s="352"/>
      <c r="G58" s="44"/>
      <c r="H58" s="46"/>
      <c r="I58" s="46"/>
      <c r="J58" s="46"/>
      <c r="K58" s="47"/>
      <c r="L58" s="50" t="str">
        <f>IFERROR(AVERAGE(G58:K58)/60,"")</f>
        <v/>
      </c>
      <c r="M58" s="330"/>
      <c r="N58" s="330"/>
      <c r="O58" s="330"/>
      <c r="P58" s="342"/>
      <c r="Q58" s="31"/>
    </row>
    <row r="59" spans="1:17">
      <c r="A59" s="335"/>
      <c r="B59" s="326"/>
      <c r="C59" s="27"/>
      <c r="D59" s="25"/>
      <c r="E59" s="25"/>
      <c r="F59" s="350">
        <f t="shared" ref="F59" si="23">SUM(E59:E64)</f>
        <v>0</v>
      </c>
      <c r="G59" s="42"/>
      <c r="H59" s="45"/>
      <c r="I59" s="45"/>
      <c r="J59" s="45"/>
      <c r="K59" s="51"/>
      <c r="L59" s="48" t="str">
        <f>IFERROR(AVERAGE(G59:K59)/60,"")</f>
        <v/>
      </c>
      <c r="M59" s="328">
        <f>SUM(L59:L64)</f>
        <v>0</v>
      </c>
      <c r="N59" s="328">
        <f>IFERROR(M59*1.1,"")</f>
        <v>0</v>
      </c>
      <c r="O59" s="328" t="str">
        <f>IFERROR(60/N59,"")</f>
        <v/>
      </c>
      <c r="P59" s="340" t="str">
        <f t="shared" ref="P59" si="24">IFERROR(SUM(E59:E64)*O59/60,"")</f>
        <v/>
      </c>
      <c r="Q59" s="28"/>
    </row>
    <row r="60" spans="1:17">
      <c r="A60" s="336"/>
      <c r="B60" s="334"/>
      <c r="C60" s="24"/>
      <c r="D60" s="11"/>
      <c r="E60" s="11"/>
      <c r="F60" s="351"/>
      <c r="G60" s="43"/>
      <c r="H60" s="10"/>
      <c r="I60" s="10"/>
      <c r="J60" s="10"/>
      <c r="K60" s="52"/>
      <c r="L60" s="49" t="str">
        <f t="shared" ref="L60:L63" si="25">IFERROR(AVERAGE(G60:K60)/60,"")</f>
        <v/>
      </c>
      <c r="M60" s="329"/>
      <c r="N60" s="329"/>
      <c r="O60" s="329"/>
      <c r="P60" s="341"/>
      <c r="Q60" s="29"/>
    </row>
    <row r="61" spans="1:17">
      <c r="A61" s="336"/>
      <c r="B61" s="334"/>
      <c r="C61" s="24"/>
      <c r="D61" s="11"/>
      <c r="E61" s="11"/>
      <c r="F61" s="351"/>
      <c r="G61" s="43"/>
      <c r="H61" s="10"/>
      <c r="I61" s="10"/>
      <c r="J61" s="10"/>
      <c r="K61" s="52"/>
      <c r="L61" s="49" t="str">
        <f t="shared" si="25"/>
        <v/>
      </c>
      <c r="M61" s="329"/>
      <c r="N61" s="329"/>
      <c r="O61" s="329"/>
      <c r="P61" s="341"/>
      <c r="Q61" s="29"/>
    </row>
    <row r="62" spans="1:17">
      <c r="A62" s="336"/>
      <c r="B62" s="334"/>
      <c r="C62" s="24"/>
      <c r="D62" s="11"/>
      <c r="E62" s="11"/>
      <c r="F62" s="351"/>
      <c r="G62" s="43"/>
      <c r="H62" s="10"/>
      <c r="I62" s="10"/>
      <c r="J62" s="10"/>
      <c r="K62" s="52"/>
      <c r="L62" s="49" t="str">
        <f t="shared" si="25"/>
        <v/>
      </c>
      <c r="M62" s="329"/>
      <c r="N62" s="329"/>
      <c r="O62" s="329"/>
      <c r="P62" s="341"/>
      <c r="Q62" s="29"/>
    </row>
    <row r="63" spans="1:17">
      <c r="A63" s="336"/>
      <c r="B63" s="334"/>
      <c r="C63" s="24"/>
      <c r="D63" s="11"/>
      <c r="E63" s="11"/>
      <c r="F63" s="351"/>
      <c r="G63" s="43"/>
      <c r="H63" s="10"/>
      <c r="I63" s="10"/>
      <c r="J63" s="10"/>
      <c r="K63" s="52"/>
      <c r="L63" s="49" t="str">
        <f t="shared" si="25"/>
        <v/>
      </c>
      <c r="M63" s="329"/>
      <c r="N63" s="329"/>
      <c r="O63" s="329"/>
      <c r="P63" s="341"/>
      <c r="Q63" s="29"/>
    </row>
    <row r="64" spans="1:17" ht="15" thickBot="1">
      <c r="A64" s="337"/>
      <c r="B64" s="327"/>
      <c r="C64" s="30"/>
      <c r="D64" s="26"/>
      <c r="E64" s="26"/>
      <c r="F64" s="352"/>
      <c r="G64" s="44"/>
      <c r="H64" s="46"/>
      <c r="I64" s="46"/>
      <c r="J64" s="46"/>
      <c r="K64" s="47"/>
      <c r="L64" s="50" t="str">
        <f>IFERROR(AVERAGE(G64:K64)/60,"")</f>
        <v/>
      </c>
      <c r="M64" s="330"/>
      <c r="N64" s="330"/>
      <c r="O64" s="330"/>
      <c r="P64" s="342"/>
      <c r="Q64" s="31"/>
    </row>
    <row r="65" spans="1:17">
      <c r="A65" s="335"/>
      <c r="B65" s="326"/>
      <c r="C65" s="27"/>
      <c r="D65" s="25"/>
      <c r="E65" s="25"/>
      <c r="F65" s="350">
        <f t="shared" ref="F65" si="26">SUM(E65:E70)</f>
        <v>0</v>
      </c>
      <c r="G65" s="42"/>
      <c r="H65" s="45"/>
      <c r="I65" s="45"/>
      <c r="J65" s="45"/>
      <c r="K65" s="51"/>
      <c r="L65" s="48" t="str">
        <f>IFERROR(AVERAGE(G65:K65)/60,"")</f>
        <v/>
      </c>
      <c r="M65" s="328">
        <f>SUM(L65:L70)</f>
        <v>0</v>
      </c>
      <c r="N65" s="328">
        <f>IFERROR(M65*1.1,"")</f>
        <v>0</v>
      </c>
      <c r="O65" s="328" t="str">
        <f>IFERROR(60/N65,"")</f>
        <v/>
      </c>
      <c r="P65" s="340" t="str">
        <f>IFERROR(SUM(E65:E70)*O65/60,"")</f>
        <v/>
      </c>
      <c r="Q65" s="28"/>
    </row>
    <row r="66" spans="1:17">
      <c r="A66" s="336"/>
      <c r="B66" s="334"/>
      <c r="C66" s="24"/>
      <c r="D66" s="11"/>
      <c r="E66" s="11"/>
      <c r="F66" s="351"/>
      <c r="G66" s="43"/>
      <c r="H66" s="10"/>
      <c r="I66" s="10"/>
      <c r="J66" s="10"/>
      <c r="K66" s="52"/>
      <c r="L66" s="49" t="str">
        <f t="shared" ref="L66:L69" si="27">IFERROR(AVERAGE(G66:K66)/60,"")</f>
        <v/>
      </c>
      <c r="M66" s="329"/>
      <c r="N66" s="329"/>
      <c r="O66" s="329"/>
      <c r="P66" s="341"/>
      <c r="Q66" s="29"/>
    </row>
    <row r="67" spans="1:17">
      <c r="A67" s="336"/>
      <c r="B67" s="334"/>
      <c r="C67" s="24"/>
      <c r="D67" s="11"/>
      <c r="E67" s="11"/>
      <c r="F67" s="351"/>
      <c r="G67" s="43"/>
      <c r="H67" s="10"/>
      <c r="I67" s="10"/>
      <c r="J67" s="10"/>
      <c r="K67" s="52"/>
      <c r="L67" s="49" t="str">
        <f t="shared" si="27"/>
        <v/>
      </c>
      <c r="M67" s="329"/>
      <c r="N67" s="329"/>
      <c r="O67" s="329"/>
      <c r="P67" s="341"/>
      <c r="Q67" s="29"/>
    </row>
    <row r="68" spans="1:17">
      <c r="A68" s="336"/>
      <c r="B68" s="334"/>
      <c r="C68" s="24"/>
      <c r="D68" s="11"/>
      <c r="E68" s="11"/>
      <c r="F68" s="351"/>
      <c r="G68" s="43"/>
      <c r="H68" s="10"/>
      <c r="I68" s="10"/>
      <c r="J68" s="10"/>
      <c r="K68" s="52"/>
      <c r="L68" s="49" t="str">
        <f t="shared" si="27"/>
        <v/>
      </c>
      <c r="M68" s="329"/>
      <c r="N68" s="329"/>
      <c r="O68" s="329"/>
      <c r="P68" s="341"/>
      <c r="Q68" s="29"/>
    </row>
    <row r="69" spans="1:17">
      <c r="A69" s="336"/>
      <c r="B69" s="334"/>
      <c r="C69" s="24"/>
      <c r="D69" s="11"/>
      <c r="E69" s="11"/>
      <c r="F69" s="351"/>
      <c r="G69" s="43"/>
      <c r="H69" s="10"/>
      <c r="I69" s="10"/>
      <c r="J69" s="10"/>
      <c r="K69" s="52"/>
      <c r="L69" s="49" t="str">
        <f t="shared" si="27"/>
        <v/>
      </c>
      <c r="M69" s="329"/>
      <c r="N69" s="329"/>
      <c r="O69" s="329"/>
      <c r="P69" s="341"/>
      <c r="Q69" s="29"/>
    </row>
    <row r="70" spans="1:17" ht="15" thickBot="1">
      <c r="A70" s="337"/>
      <c r="B70" s="327"/>
      <c r="C70" s="30"/>
      <c r="D70" s="26"/>
      <c r="E70" s="26"/>
      <c r="F70" s="352"/>
      <c r="G70" s="44"/>
      <c r="H70" s="46"/>
      <c r="I70" s="46"/>
      <c r="J70" s="46"/>
      <c r="K70" s="47"/>
      <c r="L70" s="50" t="str">
        <f>IFERROR(AVERAGE(G70:K70)/60,"")</f>
        <v/>
      </c>
      <c r="M70" s="330"/>
      <c r="N70" s="330"/>
      <c r="O70" s="330"/>
      <c r="P70" s="342"/>
      <c r="Q70" s="31"/>
    </row>
    <row r="71" spans="1:17">
      <c r="A71" s="335"/>
      <c r="B71" s="326"/>
      <c r="C71" s="27"/>
      <c r="D71" s="25"/>
      <c r="E71" s="25"/>
      <c r="F71" s="350">
        <f t="shared" ref="F71" si="28">SUM(E71:E76)</f>
        <v>0</v>
      </c>
      <c r="G71" s="42"/>
      <c r="H71" s="45"/>
      <c r="I71" s="45"/>
      <c r="J71" s="45"/>
      <c r="K71" s="51"/>
      <c r="L71" s="48" t="str">
        <f>IFERROR(AVERAGE(G71:K71)/60,"")</f>
        <v/>
      </c>
      <c r="M71" s="328">
        <f>SUM(L71:L76)</f>
        <v>0</v>
      </c>
      <c r="N71" s="328">
        <f>IFERROR(M71*1.1,"")</f>
        <v>0</v>
      </c>
      <c r="O71" s="328" t="str">
        <f>IFERROR(60/N71,"")</f>
        <v/>
      </c>
      <c r="P71" s="340" t="str">
        <f t="shared" ref="P71" si="29">IFERROR(SUM(E71:E76)*O71/60,"")</f>
        <v/>
      </c>
      <c r="Q71" s="28"/>
    </row>
    <row r="72" spans="1:17">
      <c r="A72" s="336"/>
      <c r="B72" s="334"/>
      <c r="C72" s="24"/>
      <c r="D72" s="11"/>
      <c r="E72" s="11"/>
      <c r="F72" s="351"/>
      <c r="G72" s="43"/>
      <c r="H72" s="10"/>
      <c r="I72" s="10"/>
      <c r="J72" s="10"/>
      <c r="K72" s="52"/>
      <c r="L72" s="49" t="str">
        <f t="shared" ref="L72:L75" si="30">IFERROR(AVERAGE(G72:K72)/60,"")</f>
        <v/>
      </c>
      <c r="M72" s="329"/>
      <c r="N72" s="329"/>
      <c r="O72" s="329"/>
      <c r="P72" s="341"/>
      <c r="Q72" s="29"/>
    </row>
    <row r="73" spans="1:17">
      <c r="A73" s="336"/>
      <c r="B73" s="334"/>
      <c r="C73" s="24"/>
      <c r="D73" s="11"/>
      <c r="E73" s="11"/>
      <c r="F73" s="351"/>
      <c r="G73" s="43"/>
      <c r="H73" s="10"/>
      <c r="I73" s="10"/>
      <c r="J73" s="10"/>
      <c r="K73" s="52"/>
      <c r="L73" s="49" t="str">
        <f t="shared" si="30"/>
        <v/>
      </c>
      <c r="M73" s="329"/>
      <c r="N73" s="329"/>
      <c r="O73" s="329"/>
      <c r="P73" s="341"/>
      <c r="Q73" s="29"/>
    </row>
    <row r="74" spans="1:17">
      <c r="A74" s="336"/>
      <c r="B74" s="334"/>
      <c r="C74" s="24"/>
      <c r="D74" s="11"/>
      <c r="E74" s="11"/>
      <c r="F74" s="351"/>
      <c r="G74" s="43"/>
      <c r="H74" s="10"/>
      <c r="I74" s="10"/>
      <c r="J74" s="10"/>
      <c r="K74" s="52"/>
      <c r="L74" s="49" t="str">
        <f t="shared" si="30"/>
        <v/>
      </c>
      <c r="M74" s="329"/>
      <c r="N74" s="329"/>
      <c r="O74" s="329"/>
      <c r="P74" s="341"/>
      <c r="Q74" s="29"/>
    </row>
    <row r="75" spans="1:17">
      <c r="A75" s="336"/>
      <c r="B75" s="334"/>
      <c r="C75" s="24"/>
      <c r="D75" s="11"/>
      <c r="E75" s="11"/>
      <c r="F75" s="351"/>
      <c r="G75" s="43"/>
      <c r="H75" s="10"/>
      <c r="I75" s="10"/>
      <c r="J75" s="10"/>
      <c r="K75" s="52"/>
      <c r="L75" s="49" t="str">
        <f t="shared" si="30"/>
        <v/>
      </c>
      <c r="M75" s="329"/>
      <c r="N75" s="329"/>
      <c r="O75" s="329"/>
      <c r="P75" s="341"/>
      <c r="Q75" s="29"/>
    </row>
    <row r="76" spans="1:17" ht="15" thickBot="1">
      <c r="A76" s="337"/>
      <c r="B76" s="327"/>
      <c r="C76" s="30"/>
      <c r="D76" s="26"/>
      <c r="E76" s="26"/>
      <c r="F76" s="352"/>
      <c r="G76" s="44"/>
      <c r="H76" s="46"/>
      <c r="I76" s="46"/>
      <c r="J76" s="46"/>
      <c r="K76" s="47"/>
      <c r="L76" s="50" t="str">
        <f>IFERROR(AVERAGE(G76:K76)/60,"")</f>
        <v/>
      </c>
      <c r="M76" s="330"/>
      <c r="N76" s="330"/>
      <c r="O76" s="330"/>
      <c r="P76" s="342"/>
      <c r="Q76" s="31"/>
    </row>
    <row r="77" spans="1:17">
      <c r="A77" s="335"/>
      <c r="B77" s="326"/>
      <c r="C77" s="27"/>
      <c r="D77" s="25"/>
      <c r="E77" s="25"/>
      <c r="F77" s="350">
        <f t="shared" ref="F77" si="31">SUM(E77:E82)</f>
        <v>0</v>
      </c>
      <c r="G77" s="42"/>
      <c r="H77" s="45"/>
      <c r="I77" s="45"/>
      <c r="J77" s="45"/>
      <c r="K77" s="51"/>
      <c r="L77" s="48" t="str">
        <f>IFERROR(AVERAGE(G77:K77)/60,"")</f>
        <v/>
      </c>
      <c r="M77" s="328">
        <f>SUM(L77:L82)</f>
        <v>0</v>
      </c>
      <c r="N77" s="328">
        <f>IFERROR(M77*1.1,"")</f>
        <v>0</v>
      </c>
      <c r="O77" s="328" t="str">
        <f>IFERROR(60/N77,"")</f>
        <v/>
      </c>
      <c r="P77" s="340" t="str">
        <f t="shared" ref="P77" si="32">IFERROR(SUM(E77:E82)*O77/60,"")</f>
        <v/>
      </c>
      <c r="Q77" s="28"/>
    </row>
    <row r="78" spans="1:17">
      <c r="A78" s="336"/>
      <c r="B78" s="334"/>
      <c r="C78" s="24"/>
      <c r="D78" s="11"/>
      <c r="E78" s="11"/>
      <c r="F78" s="351"/>
      <c r="G78" s="43"/>
      <c r="H78" s="10"/>
      <c r="I78" s="10"/>
      <c r="J78" s="10"/>
      <c r="K78" s="52"/>
      <c r="L78" s="49" t="str">
        <f t="shared" ref="L78:L81" si="33">IFERROR(AVERAGE(G78:K78)/60,"")</f>
        <v/>
      </c>
      <c r="M78" s="329"/>
      <c r="N78" s="329"/>
      <c r="O78" s="329"/>
      <c r="P78" s="341"/>
      <c r="Q78" s="29"/>
    </row>
    <row r="79" spans="1:17">
      <c r="A79" s="336"/>
      <c r="B79" s="334"/>
      <c r="C79" s="24"/>
      <c r="D79" s="11"/>
      <c r="E79" s="11"/>
      <c r="F79" s="351"/>
      <c r="G79" s="43"/>
      <c r="H79" s="10"/>
      <c r="I79" s="10"/>
      <c r="J79" s="10"/>
      <c r="K79" s="52"/>
      <c r="L79" s="49" t="str">
        <f t="shared" si="33"/>
        <v/>
      </c>
      <c r="M79" s="329"/>
      <c r="N79" s="329"/>
      <c r="O79" s="329"/>
      <c r="P79" s="341"/>
      <c r="Q79" s="29"/>
    </row>
    <row r="80" spans="1:17">
      <c r="A80" s="336"/>
      <c r="B80" s="334"/>
      <c r="C80" s="24"/>
      <c r="D80" s="11"/>
      <c r="E80" s="11"/>
      <c r="F80" s="351"/>
      <c r="G80" s="43"/>
      <c r="H80" s="10"/>
      <c r="I80" s="10"/>
      <c r="J80" s="10"/>
      <c r="K80" s="52"/>
      <c r="L80" s="49" t="str">
        <f t="shared" si="33"/>
        <v/>
      </c>
      <c r="M80" s="329"/>
      <c r="N80" s="329"/>
      <c r="O80" s="329"/>
      <c r="P80" s="341"/>
      <c r="Q80" s="29"/>
    </row>
    <row r="81" spans="1:17">
      <c r="A81" s="336"/>
      <c r="B81" s="334"/>
      <c r="C81" s="24"/>
      <c r="D81" s="11"/>
      <c r="E81" s="11"/>
      <c r="F81" s="351"/>
      <c r="G81" s="43"/>
      <c r="H81" s="10"/>
      <c r="I81" s="10"/>
      <c r="J81" s="10"/>
      <c r="K81" s="52"/>
      <c r="L81" s="49" t="str">
        <f t="shared" si="33"/>
        <v/>
      </c>
      <c r="M81" s="329"/>
      <c r="N81" s="329"/>
      <c r="O81" s="329"/>
      <c r="P81" s="341"/>
      <c r="Q81" s="29"/>
    </row>
    <row r="82" spans="1:17" ht="15" thickBot="1">
      <c r="A82" s="337"/>
      <c r="B82" s="327"/>
      <c r="C82" s="30"/>
      <c r="D82" s="26"/>
      <c r="E82" s="26"/>
      <c r="F82" s="352"/>
      <c r="G82" s="44"/>
      <c r="H82" s="46"/>
      <c r="I82" s="46"/>
      <c r="J82" s="46"/>
      <c r="K82" s="47"/>
      <c r="L82" s="50" t="str">
        <f>IFERROR(AVERAGE(G82:K82)/60,"")</f>
        <v/>
      </c>
      <c r="M82" s="330"/>
      <c r="N82" s="330"/>
      <c r="O82" s="330"/>
      <c r="P82" s="342"/>
      <c r="Q82" s="31"/>
    </row>
    <row r="83" spans="1:17">
      <c r="A83" s="335"/>
      <c r="B83" s="326"/>
      <c r="C83" s="27"/>
      <c r="D83" s="25"/>
      <c r="E83" s="25"/>
      <c r="F83" s="350">
        <f t="shared" ref="F83" si="34">SUM(E83:E88)</f>
        <v>0</v>
      </c>
      <c r="G83" s="42"/>
      <c r="H83" s="45"/>
      <c r="I83" s="45"/>
      <c r="J83" s="45"/>
      <c r="K83" s="51"/>
      <c r="L83" s="48" t="str">
        <f>IFERROR(AVERAGE(G83:K83)/60,"")</f>
        <v/>
      </c>
      <c r="M83" s="328">
        <f>SUM(L83:L88)</f>
        <v>0</v>
      </c>
      <c r="N83" s="328">
        <f>IFERROR(M83*1.1,"")</f>
        <v>0</v>
      </c>
      <c r="O83" s="328" t="str">
        <f>IFERROR(60/N83,"")</f>
        <v/>
      </c>
      <c r="P83" s="340" t="str">
        <f t="shared" ref="P83" si="35">IFERROR(SUM(E83:E88)*O83/60,"")</f>
        <v/>
      </c>
      <c r="Q83" s="28"/>
    </row>
    <row r="84" spans="1:17">
      <c r="A84" s="336"/>
      <c r="B84" s="334"/>
      <c r="C84" s="24"/>
      <c r="D84" s="11"/>
      <c r="E84" s="11"/>
      <c r="F84" s="351"/>
      <c r="G84" s="43"/>
      <c r="H84" s="10"/>
      <c r="I84" s="10"/>
      <c r="J84" s="10"/>
      <c r="K84" s="52"/>
      <c r="L84" s="49" t="str">
        <f t="shared" ref="L84:L87" si="36">IFERROR(AVERAGE(G84:K84)/60,"")</f>
        <v/>
      </c>
      <c r="M84" s="329"/>
      <c r="N84" s="329"/>
      <c r="O84" s="329"/>
      <c r="P84" s="341"/>
      <c r="Q84" s="29"/>
    </row>
    <row r="85" spans="1:17">
      <c r="A85" s="336"/>
      <c r="B85" s="334"/>
      <c r="C85" s="24"/>
      <c r="D85" s="11"/>
      <c r="E85" s="11"/>
      <c r="F85" s="351"/>
      <c r="G85" s="43"/>
      <c r="H85" s="10"/>
      <c r="I85" s="10"/>
      <c r="J85" s="10"/>
      <c r="K85" s="52"/>
      <c r="L85" s="49" t="str">
        <f t="shared" si="36"/>
        <v/>
      </c>
      <c r="M85" s="329"/>
      <c r="N85" s="329"/>
      <c r="O85" s="329"/>
      <c r="P85" s="341"/>
      <c r="Q85" s="29"/>
    </row>
    <row r="86" spans="1:17">
      <c r="A86" s="336"/>
      <c r="B86" s="334"/>
      <c r="C86" s="24"/>
      <c r="D86" s="11"/>
      <c r="E86" s="11"/>
      <c r="F86" s="351"/>
      <c r="G86" s="43"/>
      <c r="H86" s="10"/>
      <c r="I86" s="10"/>
      <c r="J86" s="10"/>
      <c r="K86" s="52"/>
      <c r="L86" s="49" t="str">
        <f t="shared" si="36"/>
        <v/>
      </c>
      <c r="M86" s="329"/>
      <c r="N86" s="329"/>
      <c r="O86" s="329"/>
      <c r="P86" s="341"/>
      <c r="Q86" s="29"/>
    </row>
    <row r="87" spans="1:17">
      <c r="A87" s="336"/>
      <c r="B87" s="334"/>
      <c r="C87" s="24"/>
      <c r="D87" s="11"/>
      <c r="E87" s="11"/>
      <c r="F87" s="351"/>
      <c r="G87" s="43"/>
      <c r="H87" s="10"/>
      <c r="I87" s="10"/>
      <c r="J87" s="10"/>
      <c r="K87" s="52"/>
      <c r="L87" s="49" t="str">
        <f t="shared" si="36"/>
        <v/>
      </c>
      <c r="M87" s="329"/>
      <c r="N87" s="329"/>
      <c r="O87" s="329"/>
      <c r="P87" s="341"/>
      <c r="Q87" s="29"/>
    </row>
    <row r="88" spans="1:17" ht="15" thickBot="1">
      <c r="A88" s="337"/>
      <c r="B88" s="327"/>
      <c r="C88" s="30"/>
      <c r="D88" s="26"/>
      <c r="E88" s="26"/>
      <c r="F88" s="352"/>
      <c r="G88" s="44"/>
      <c r="H88" s="46"/>
      <c r="I88" s="46"/>
      <c r="J88" s="46"/>
      <c r="K88" s="47"/>
      <c r="L88" s="50" t="str">
        <f>IFERROR(AVERAGE(G88:K88)/60,"")</f>
        <v/>
      </c>
      <c r="M88" s="330"/>
      <c r="N88" s="330"/>
      <c r="O88" s="330"/>
      <c r="P88" s="342"/>
      <c r="Q88" s="31"/>
    </row>
    <row r="89" spans="1:17">
      <c r="A89" s="335"/>
      <c r="B89" s="326"/>
      <c r="C89" s="27"/>
      <c r="D89" s="25"/>
      <c r="E89" s="25"/>
      <c r="F89" s="350">
        <f t="shared" ref="F89" si="37">SUM(E89:E94)</f>
        <v>0</v>
      </c>
      <c r="G89" s="42"/>
      <c r="H89" s="45"/>
      <c r="I89" s="45"/>
      <c r="J89" s="45"/>
      <c r="K89" s="51"/>
      <c r="L89" s="48" t="str">
        <f>IFERROR(AVERAGE(G89:K89)/60,"")</f>
        <v/>
      </c>
      <c r="M89" s="328">
        <f>SUM(L89:L94)</f>
        <v>0</v>
      </c>
      <c r="N89" s="328">
        <f>IFERROR(M89*1.1,"")</f>
        <v>0</v>
      </c>
      <c r="O89" s="328" t="str">
        <f>IFERROR(60/N89,"")</f>
        <v/>
      </c>
      <c r="P89" s="340" t="str">
        <f t="shared" ref="P89" si="38">IFERROR(SUM(E89:E94)*O89/60,"")</f>
        <v/>
      </c>
      <c r="Q89" s="28"/>
    </row>
    <row r="90" spans="1:17">
      <c r="A90" s="336"/>
      <c r="B90" s="334"/>
      <c r="C90" s="24"/>
      <c r="D90" s="11"/>
      <c r="E90" s="11"/>
      <c r="F90" s="351"/>
      <c r="G90" s="43"/>
      <c r="H90" s="10"/>
      <c r="I90" s="10"/>
      <c r="J90" s="10"/>
      <c r="K90" s="52"/>
      <c r="L90" s="49" t="str">
        <f t="shared" ref="L90:L93" si="39">IFERROR(AVERAGE(G90:K90)/60,"")</f>
        <v/>
      </c>
      <c r="M90" s="329"/>
      <c r="N90" s="329"/>
      <c r="O90" s="329"/>
      <c r="P90" s="341"/>
      <c r="Q90" s="29"/>
    </row>
    <row r="91" spans="1:17">
      <c r="A91" s="336"/>
      <c r="B91" s="334"/>
      <c r="C91" s="24"/>
      <c r="D91" s="11"/>
      <c r="E91" s="11"/>
      <c r="F91" s="351"/>
      <c r="G91" s="43"/>
      <c r="H91" s="10"/>
      <c r="I91" s="10"/>
      <c r="J91" s="10"/>
      <c r="K91" s="52"/>
      <c r="L91" s="49" t="str">
        <f t="shared" si="39"/>
        <v/>
      </c>
      <c r="M91" s="329"/>
      <c r="N91" s="329"/>
      <c r="O91" s="329"/>
      <c r="P91" s="341"/>
      <c r="Q91" s="29"/>
    </row>
    <row r="92" spans="1:17">
      <c r="A92" s="336"/>
      <c r="B92" s="334"/>
      <c r="C92" s="24"/>
      <c r="D92" s="11"/>
      <c r="E92" s="11"/>
      <c r="F92" s="351"/>
      <c r="G92" s="43"/>
      <c r="H92" s="10"/>
      <c r="I92" s="10"/>
      <c r="J92" s="10"/>
      <c r="K92" s="52"/>
      <c r="L92" s="49" t="str">
        <f t="shared" si="39"/>
        <v/>
      </c>
      <c r="M92" s="329"/>
      <c r="N92" s="329"/>
      <c r="O92" s="329"/>
      <c r="P92" s="341"/>
      <c r="Q92" s="29"/>
    </row>
    <row r="93" spans="1:17">
      <c r="A93" s="336"/>
      <c r="B93" s="334"/>
      <c r="C93" s="24"/>
      <c r="D93" s="11"/>
      <c r="E93" s="11"/>
      <c r="F93" s="351"/>
      <c r="G93" s="43"/>
      <c r="H93" s="10"/>
      <c r="I93" s="10"/>
      <c r="J93" s="10"/>
      <c r="K93" s="52"/>
      <c r="L93" s="49" t="str">
        <f t="shared" si="39"/>
        <v/>
      </c>
      <c r="M93" s="329"/>
      <c r="N93" s="329"/>
      <c r="O93" s="329"/>
      <c r="P93" s="341"/>
      <c r="Q93" s="29"/>
    </row>
    <row r="94" spans="1:17" ht="15" thickBot="1">
      <c r="A94" s="337"/>
      <c r="B94" s="327"/>
      <c r="C94" s="30"/>
      <c r="D94" s="26"/>
      <c r="E94" s="26"/>
      <c r="F94" s="352"/>
      <c r="G94" s="44"/>
      <c r="H94" s="46"/>
      <c r="I94" s="46"/>
      <c r="J94" s="46"/>
      <c r="K94" s="47"/>
      <c r="L94" s="50" t="str">
        <f>IFERROR(AVERAGE(G94:K94)/60,"")</f>
        <v/>
      </c>
      <c r="M94" s="330"/>
      <c r="N94" s="330"/>
      <c r="O94" s="330"/>
      <c r="P94" s="342"/>
      <c r="Q94" s="31"/>
    </row>
    <row r="95" spans="1:17">
      <c r="A95" s="335"/>
      <c r="B95" s="326"/>
      <c r="C95" s="27"/>
      <c r="D95" s="25"/>
      <c r="E95" s="25"/>
      <c r="F95" s="350">
        <f t="shared" ref="F95" si="40">SUM(E95:E100)</f>
        <v>0</v>
      </c>
      <c r="G95" s="42"/>
      <c r="H95" s="45"/>
      <c r="I95" s="45"/>
      <c r="J95" s="45"/>
      <c r="K95" s="51"/>
      <c r="L95" s="48" t="str">
        <f>IFERROR(AVERAGE(G95:K95)/60,"")</f>
        <v/>
      </c>
      <c r="M95" s="328">
        <f>SUM(L95:L100)</f>
        <v>0</v>
      </c>
      <c r="N95" s="328">
        <f>IFERROR(M95*1.1,"")</f>
        <v>0</v>
      </c>
      <c r="O95" s="328" t="str">
        <f>IFERROR(60/N95,"")</f>
        <v/>
      </c>
      <c r="P95" s="340" t="str">
        <f>IFERROR(SUM(E95:E100)*O95/60,"")</f>
        <v/>
      </c>
      <c r="Q95" s="28"/>
    </row>
    <row r="96" spans="1:17">
      <c r="A96" s="336"/>
      <c r="B96" s="334"/>
      <c r="C96" s="24"/>
      <c r="D96" s="11"/>
      <c r="E96" s="11"/>
      <c r="F96" s="351"/>
      <c r="G96" s="43"/>
      <c r="H96" s="10"/>
      <c r="I96" s="10"/>
      <c r="J96" s="10"/>
      <c r="K96" s="52"/>
      <c r="L96" s="49" t="str">
        <f t="shared" ref="L96:L99" si="41">IFERROR(AVERAGE(G96:K96)/60,"")</f>
        <v/>
      </c>
      <c r="M96" s="329"/>
      <c r="N96" s="329"/>
      <c r="O96" s="329"/>
      <c r="P96" s="341"/>
      <c r="Q96" s="29"/>
    </row>
    <row r="97" spans="1:17">
      <c r="A97" s="336"/>
      <c r="B97" s="334"/>
      <c r="C97" s="24"/>
      <c r="D97" s="11"/>
      <c r="E97" s="11"/>
      <c r="F97" s="351"/>
      <c r="G97" s="43"/>
      <c r="H97" s="10"/>
      <c r="I97" s="10"/>
      <c r="J97" s="10"/>
      <c r="K97" s="52"/>
      <c r="L97" s="49" t="str">
        <f t="shared" si="41"/>
        <v/>
      </c>
      <c r="M97" s="329"/>
      <c r="N97" s="329"/>
      <c r="O97" s="329"/>
      <c r="P97" s="341"/>
      <c r="Q97" s="29"/>
    </row>
    <row r="98" spans="1:17">
      <c r="A98" s="336"/>
      <c r="B98" s="334"/>
      <c r="C98" s="24"/>
      <c r="D98" s="11"/>
      <c r="E98" s="11"/>
      <c r="F98" s="351"/>
      <c r="G98" s="43"/>
      <c r="H98" s="10"/>
      <c r="I98" s="10"/>
      <c r="J98" s="10"/>
      <c r="K98" s="52"/>
      <c r="L98" s="49" t="str">
        <f t="shared" si="41"/>
        <v/>
      </c>
      <c r="M98" s="329"/>
      <c r="N98" s="329"/>
      <c r="O98" s="329"/>
      <c r="P98" s="341"/>
      <c r="Q98" s="29"/>
    </row>
    <row r="99" spans="1:17">
      <c r="A99" s="336"/>
      <c r="B99" s="334"/>
      <c r="C99" s="24"/>
      <c r="D99" s="11"/>
      <c r="E99" s="11"/>
      <c r="F99" s="351"/>
      <c r="G99" s="43"/>
      <c r="H99" s="10"/>
      <c r="I99" s="10"/>
      <c r="J99" s="10"/>
      <c r="K99" s="52"/>
      <c r="L99" s="49" t="str">
        <f t="shared" si="41"/>
        <v/>
      </c>
      <c r="M99" s="329"/>
      <c r="N99" s="329"/>
      <c r="O99" s="329"/>
      <c r="P99" s="341"/>
      <c r="Q99" s="29"/>
    </row>
    <row r="100" spans="1:17" ht="15" thickBot="1">
      <c r="A100" s="337"/>
      <c r="B100" s="327"/>
      <c r="C100" s="30"/>
      <c r="D100" s="26"/>
      <c r="E100" s="26"/>
      <c r="F100" s="352"/>
      <c r="G100" s="44"/>
      <c r="H100" s="46"/>
      <c r="I100" s="46"/>
      <c r="J100" s="46"/>
      <c r="K100" s="47"/>
      <c r="L100" s="50" t="str">
        <f>IFERROR(AVERAGE(G100:K100)/60,"")</f>
        <v/>
      </c>
      <c r="M100" s="330"/>
      <c r="N100" s="330"/>
      <c r="O100" s="330"/>
      <c r="P100" s="342"/>
      <c r="Q100" s="31"/>
    </row>
    <row r="101" spans="1:17">
      <c r="A101" s="335"/>
      <c r="B101" s="326"/>
      <c r="C101" s="27"/>
      <c r="D101" s="25"/>
      <c r="E101" s="25"/>
      <c r="F101" s="350">
        <f t="shared" ref="F101" si="42">SUM(E101:E106)</f>
        <v>0</v>
      </c>
      <c r="G101" s="42"/>
      <c r="H101" s="45"/>
      <c r="I101" s="45"/>
      <c r="J101" s="45"/>
      <c r="K101" s="51"/>
      <c r="L101" s="48" t="str">
        <f>IFERROR(AVERAGE(G101:K101)/60,"")</f>
        <v/>
      </c>
      <c r="M101" s="328">
        <f>SUM(L101:L106)</f>
        <v>0</v>
      </c>
      <c r="N101" s="328">
        <f>IFERROR(M101*1.1,"")</f>
        <v>0</v>
      </c>
      <c r="O101" s="328" t="str">
        <f>IFERROR(60/N101,"")</f>
        <v/>
      </c>
      <c r="P101" s="340" t="str">
        <f t="shared" ref="P101" si="43">IFERROR(SUM(E101:E106)*O101/60,"")</f>
        <v/>
      </c>
      <c r="Q101" s="28"/>
    </row>
    <row r="102" spans="1:17">
      <c r="A102" s="336"/>
      <c r="B102" s="334"/>
      <c r="C102" s="24"/>
      <c r="D102" s="11"/>
      <c r="E102" s="11"/>
      <c r="F102" s="351"/>
      <c r="G102" s="43"/>
      <c r="H102" s="10"/>
      <c r="I102" s="10"/>
      <c r="J102" s="10"/>
      <c r="K102" s="52"/>
      <c r="L102" s="49" t="str">
        <f t="shared" ref="L102:L105" si="44">IFERROR(AVERAGE(G102:K102)/60,"")</f>
        <v/>
      </c>
      <c r="M102" s="329"/>
      <c r="N102" s="329"/>
      <c r="O102" s="329"/>
      <c r="P102" s="341"/>
      <c r="Q102" s="29"/>
    </row>
    <row r="103" spans="1:17">
      <c r="A103" s="336"/>
      <c r="B103" s="334"/>
      <c r="C103" s="24"/>
      <c r="D103" s="11"/>
      <c r="E103" s="11"/>
      <c r="F103" s="351"/>
      <c r="G103" s="43"/>
      <c r="H103" s="10"/>
      <c r="I103" s="10"/>
      <c r="J103" s="10"/>
      <c r="K103" s="52"/>
      <c r="L103" s="49" t="str">
        <f t="shared" si="44"/>
        <v/>
      </c>
      <c r="M103" s="329"/>
      <c r="N103" s="329"/>
      <c r="O103" s="329"/>
      <c r="P103" s="341"/>
      <c r="Q103" s="29"/>
    </row>
    <row r="104" spans="1:17">
      <c r="A104" s="336"/>
      <c r="B104" s="334"/>
      <c r="C104" s="24"/>
      <c r="D104" s="11"/>
      <c r="E104" s="11"/>
      <c r="F104" s="351"/>
      <c r="G104" s="43"/>
      <c r="H104" s="10"/>
      <c r="I104" s="10"/>
      <c r="J104" s="10"/>
      <c r="K104" s="52"/>
      <c r="L104" s="49" t="str">
        <f t="shared" si="44"/>
        <v/>
      </c>
      <c r="M104" s="329"/>
      <c r="N104" s="329"/>
      <c r="O104" s="329"/>
      <c r="P104" s="341"/>
      <c r="Q104" s="29"/>
    </row>
    <row r="105" spans="1:17">
      <c r="A105" s="336"/>
      <c r="B105" s="334"/>
      <c r="C105" s="24"/>
      <c r="D105" s="11"/>
      <c r="E105" s="11"/>
      <c r="F105" s="351"/>
      <c r="G105" s="43"/>
      <c r="H105" s="10"/>
      <c r="I105" s="10"/>
      <c r="J105" s="10"/>
      <c r="K105" s="52"/>
      <c r="L105" s="49" t="str">
        <f t="shared" si="44"/>
        <v/>
      </c>
      <c r="M105" s="329"/>
      <c r="N105" s="329"/>
      <c r="O105" s="329"/>
      <c r="P105" s="341"/>
      <c r="Q105" s="29"/>
    </row>
    <row r="106" spans="1:17" ht="15" thickBot="1">
      <c r="A106" s="337"/>
      <c r="B106" s="327"/>
      <c r="C106" s="30"/>
      <c r="D106" s="26"/>
      <c r="E106" s="26"/>
      <c r="F106" s="352"/>
      <c r="G106" s="44"/>
      <c r="H106" s="46"/>
      <c r="I106" s="46"/>
      <c r="J106" s="46"/>
      <c r="K106" s="47"/>
      <c r="L106" s="50" t="str">
        <f>IFERROR(AVERAGE(G106:K106)/60,"")</f>
        <v/>
      </c>
      <c r="M106" s="330"/>
      <c r="N106" s="330"/>
      <c r="O106" s="330"/>
      <c r="P106" s="342"/>
      <c r="Q106" s="31"/>
    </row>
    <row r="107" spans="1:17">
      <c r="A107" s="335"/>
      <c r="B107" s="326"/>
      <c r="C107" s="27"/>
      <c r="D107" s="25"/>
      <c r="E107" s="25"/>
      <c r="F107" s="350">
        <f t="shared" ref="F107" si="45">SUM(E107:E112)</f>
        <v>0</v>
      </c>
      <c r="G107" s="42"/>
      <c r="H107" s="45"/>
      <c r="I107" s="45"/>
      <c r="J107" s="45"/>
      <c r="K107" s="51"/>
      <c r="L107" s="48" t="str">
        <f>IFERROR(AVERAGE(G107:K107)/60,"")</f>
        <v/>
      </c>
      <c r="M107" s="328">
        <f>SUM(L107:L112)</f>
        <v>0</v>
      </c>
      <c r="N107" s="328">
        <f>IFERROR(M107*1.1,"")</f>
        <v>0</v>
      </c>
      <c r="O107" s="328" t="str">
        <f>IFERROR(60/N107,"")</f>
        <v/>
      </c>
      <c r="P107" s="340" t="str">
        <f t="shared" ref="P107" si="46">IFERROR(SUM(E107:E112)*O107/60,"")</f>
        <v/>
      </c>
      <c r="Q107" s="28"/>
    </row>
    <row r="108" spans="1:17">
      <c r="A108" s="336"/>
      <c r="B108" s="334"/>
      <c r="C108" s="24"/>
      <c r="D108" s="11"/>
      <c r="E108" s="11"/>
      <c r="F108" s="351"/>
      <c r="G108" s="43"/>
      <c r="H108" s="10"/>
      <c r="I108" s="10"/>
      <c r="J108" s="10"/>
      <c r="K108" s="52"/>
      <c r="L108" s="49" t="str">
        <f t="shared" ref="L108:L111" si="47">IFERROR(AVERAGE(G108:K108)/60,"")</f>
        <v/>
      </c>
      <c r="M108" s="329"/>
      <c r="N108" s="329"/>
      <c r="O108" s="329"/>
      <c r="P108" s="341"/>
      <c r="Q108" s="29"/>
    </row>
    <row r="109" spans="1:17">
      <c r="A109" s="336"/>
      <c r="B109" s="334"/>
      <c r="C109" s="24"/>
      <c r="D109" s="11"/>
      <c r="E109" s="11"/>
      <c r="F109" s="351"/>
      <c r="G109" s="43"/>
      <c r="H109" s="10"/>
      <c r="I109" s="10"/>
      <c r="J109" s="10"/>
      <c r="K109" s="52"/>
      <c r="L109" s="49" t="str">
        <f t="shared" si="47"/>
        <v/>
      </c>
      <c r="M109" s="329"/>
      <c r="N109" s="329"/>
      <c r="O109" s="329"/>
      <c r="P109" s="341"/>
      <c r="Q109" s="29"/>
    </row>
    <row r="110" spans="1:17">
      <c r="A110" s="336"/>
      <c r="B110" s="334"/>
      <c r="C110" s="24"/>
      <c r="D110" s="11"/>
      <c r="E110" s="11"/>
      <c r="F110" s="351"/>
      <c r="G110" s="43"/>
      <c r="H110" s="10"/>
      <c r="I110" s="10"/>
      <c r="J110" s="10"/>
      <c r="K110" s="52"/>
      <c r="L110" s="49" t="str">
        <f t="shared" si="47"/>
        <v/>
      </c>
      <c r="M110" s="329"/>
      <c r="N110" s="329"/>
      <c r="O110" s="329"/>
      <c r="P110" s="341"/>
      <c r="Q110" s="29"/>
    </row>
    <row r="111" spans="1:17">
      <c r="A111" s="336"/>
      <c r="B111" s="334"/>
      <c r="C111" s="24"/>
      <c r="D111" s="11"/>
      <c r="E111" s="11"/>
      <c r="F111" s="351"/>
      <c r="G111" s="43"/>
      <c r="H111" s="10"/>
      <c r="I111" s="10"/>
      <c r="J111" s="10"/>
      <c r="K111" s="52"/>
      <c r="L111" s="49" t="str">
        <f t="shared" si="47"/>
        <v/>
      </c>
      <c r="M111" s="329"/>
      <c r="N111" s="329"/>
      <c r="O111" s="329"/>
      <c r="P111" s="341"/>
      <c r="Q111" s="29"/>
    </row>
    <row r="112" spans="1:17" ht="15" thickBot="1">
      <c r="A112" s="337"/>
      <c r="B112" s="327"/>
      <c r="C112" s="30"/>
      <c r="D112" s="26"/>
      <c r="E112" s="26"/>
      <c r="F112" s="352"/>
      <c r="G112" s="44"/>
      <c r="H112" s="46"/>
      <c r="I112" s="46"/>
      <c r="J112" s="46"/>
      <c r="K112" s="47"/>
      <c r="L112" s="50" t="str">
        <f>IFERROR(AVERAGE(G112:K112)/60,"")</f>
        <v/>
      </c>
      <c r="M112" s="330"/>
      <c r="N112" s="330"/>
      <c r="O112" s="330"/>
      <c r="P112" s="342"/>
      <c r="Q112" s="31"/>
    </row>
    <row r="113" spans="1:17">
      <c r="A113" s="335"/>
      <c r="B113" s="326"/>
      <c r="C113" s="27"/>
      <c r="D113" s="25"/>
      <c r="E113" s="25"/>
      <c r="F113" s="350">
        <f t="shared" ref="F113" si="48">SUM(E113:E118)</f>
        <v>0</v>
      </c>
      <c r="G113" s="42"/>
      <c r="H113" s="45"/>
      <c r="I113" s="45"/>
      <c r="J113" s="45"/>
      <c r="K113" s="51"/>
      <c r="L113" s="48" t="str">
        <f>IFERROR(AVERAGE(G113:K113)/60,"")</f>
        <v/>
      </c>
      <c r="M113" s="328">
        <f>SUM(L113:L118)</f>
        <v>0</v>
      </c>
      <c r="N113" s="328">
        <f>IFERROR(M113*1.1,"")</f>
        <v>0</v>
      </c>
      <c r="O113" s="328" t="str">
        <f>IFERROR(60/N113,"")</f>
        <v/>
      </c>
      <c r="P113" s="340" t="str">
        <f t="shared" ref="P113" si="49">IFERROR(SUM(E113:E118)*O113/60,"")</f>
        <v/>
      </c>
      <c r="Q113" s="28"/>
    </row>
    <row r="114" spans="1:17">
      <c r="A114" s="336"/>
      <c r="B114" s="334"/>
      <c r="C114" s="24"/>
      <c r="D114" s="11"/>
      <c r="E114" s="11"/>
      <c r="F114" s="351"/>
      <c r="G114" s="43"/>
      <c r="H114" s="10"/>
      <c r="I114" s="10"/>
      <c r="J114" s="10"/>
      <c r="K114" s="52"/>
      <c r="L114" s="49" t="str">
        <f t="shared" ref="L114:L117" si="50">IFERROR(AVERAGE(G114:K114)/60,"")</f>
        <v/>
      </c>
      <c r="M114" s="329"/>
      <c r="N114" s="329"/>
      <c r="O114" s="329"/>
      <c r="P114" s="341"/>
      <c r="Q114" s="29"/>
    </row>
    <row r="115" spans="1:17">
      <c r="A115" s="336"/>
      <c r="B115" s="334"/>
      <c r="C115" s="24"/>
      <c r="D115" s="11"/>
      <c r="E115" s="11"/>
      <c r="F115" s="351"/>
      <c r="G115" s="43"/>
      <c r="H115" s="10"/>
      <c r="I115" s="10"/>
      <c r="J115" s="10"/>
      <c r="K115" s="52"/>
      <c r="L115" s="49" t="str">
        <f t="shared" si="50"/>
        <v/>
      </c>
      <c r="M115" s="329"/>
      <c r="N115" s="329"/>
      <c r="O115" s="329"/>
      <c r="P115" s="341"/>
      <c r="Q115" s="29"/>
    </row>
    <row r="116" spans="1:17">
      <c r="A116" s="336"/>
      <c r="B116" s="334"/>
      <c r="C116" s="24"/>
      <c r="D116" s="11"/>
      <c r="E116" s="11"/>
      <c r="F116" s="351"/>
      <c r="G116" s="43"/>
      <c r="H116" s="10"/>
      <c r="I116" s="10"/>
      <c r="J116" s="10"/>
      <c r="K116" s="52"/>
      <c r="L116" s="49" t="str">
        <f t="shared" si="50"/>
        <v/>
      </c>
      <c r="M116" s="329"/>
      <c r="N116" s="329"/>
      <c r="O116" s="329"/>
      <c r="P116" s="341"/>
      <c r="Q116" s="29"/>
    </row>
    <row r="117" spans="1:17">
      <c r="A117" s="336"/>
      <c r="B117" s="334"/>
      <c r="C117" s="24"/>
      <c r="D117" s="11"/>
      <c r="E117" s="11"/>
      <c r="F117" s="351"/>
      <c r="G117" s="43"/>
      <c r="H117" s="10"/>
      <c r="I117" s="10"/>
      <c r="J117" s="10"/>
      <c r="K117" s="52"/>
      <c r="L117" s="49" t="str">
        <f t="shared" si="50"/>
        <v/>
      </c>
      <c r="M117" s="329"/>
      <c r="N117" s="329"/>
      <c r="O117" s="329"/>
      <c r="P117" s="341"/>
      <c r="Q117" s="29"/>
    </row>
    <row r="118" spans="1:17" ht="15" thickBot="1">
      <c r="A118" s="337"/>
      <c r="B118" s="327"/>
      <c r="C118" s="30"/>
      <c r="D118" s="26"/>
      <c r="E118" s="26"/>
      <c r="F118" s="352"/>
      <c r="G118" s="44"/>
      <c r="H118" s="46"/>
      <c r="I118" s="46"/>
      <c r="J118" s="46"/>
      <c r="K118" s="47"/>
      <c r="L118" s="50" t="str">
        <f>IFERROR(AVERAGE(G118:K118)/60,"")</f>
        <v/>
      </c>
      <c r="M118" s="330"/>
      <c r="N118" s="330"/>
      <c r="O118" s="330"/>
      <c r="P118" s="342"/>
      <c r="Q118" s="31"/>
    </row>
    <row r="119" spans="1:17">
      <c r="A119" s="335"/>
      <c r="B119" s="326"/>
      <c r="C119" s="27"/>
      <c r="D119" s="25"/>
      <c r="E119" s="25"/>
      <c r="F119" s="350">
        <f t="shared" ref="F119" si="51">SUM(E119:E124)</f>
        <v>0</v>
      </c>
      <c r="G119" s="42"/>
      <c r="H119" s="45"/>
      <c r="I119" s="45"/>
      <c r="J119" s="45"/>
      <c r="K119" s="51"/>
      <c r="L119" s="48" t="str">
        <f>IFERROR(AVERAGE(G119:K119)/60,"")</f>
        <v/>
      </c>
      <c r="M119" s="328">
        <f>SUM(L119:L124)</f>
        <v>0</v>
      </c>
      <c r="N119" s="328">
        <f>IFERROR(M119*1.1,"")</f>
        <v>0</v>
      </c>
      <c r="O119" s="328" t="str">
        <f>IFERROR(60/N119,"")</f>
        <v/>
      </c>
      <c r="P119" s="340" t="str">
        <f t="shared" ref="P119" si="52">IFERROR(SUM(E119:E124)*O119/60,"")</f>
        <v/>
      </c>
      <c r="Q119" s="28"/>
    </row>
    <row r="120" spans="1:17">
      <c r="A120" s="336"/>
      <c r="B120" s="334"/>
      <c r="C120" s="24"/>
      <c r="D120" s="11"/>
      <c r="E120" s="11"/>
      <c r="F120" s="351"/>
      <c r="G120" s="43"/>
      <c r="H120" s="10"/>
      <c r="I120" s="10"/>
      <c r="J120" s="10"/>
      <c r="K120" s="52"/>
      <c r="L120" s="49" t="str">
        <f t="shared" ref="L120:L123" si="53">IFERROR(AVERAGE(G120:K120)/60,"")</f>
        <v/>
      </c>
      <c r="M120" s="329"/>
      <c r="N120" s="329"/>
      <c r="O120" s="329"/>
      <c r="P120" s="341"/>
      <c r="Q120" s="29"/>
    </row>
    <row r="121" spans="1:17">
      <c r="A121" s="336"/>
      <c r="B121" s="334"/>
      <c r="C121" s="24"/>
      <c r="D121" s="11"/>
      <c r="E121" s="11"/>
      <c r="F121" s="351"/>
      <c r="G121" s="43"/>
      <c r="H121" s="10"/>
      <c r="I121" s="10"/>
      <c r="J121" s="10"/>
      <c r="K121" s="52"/>
      <c r="L121" s="49" t="str">
        <f t="shared" si="53"/>
        <v/>
      </c>
      <c r="M121" s="329"/>
      <c r="N121" s="329"/>
      <c r="O121" s="329"/>
      <c r="P121" s="341"/>
      <c r="Q121" s="29"/>
    </row>
    <row r="122" spans="1:17">
      <c r="A122" s="336"/>
      <c r="B122" s="334"/>
      <c r="C122" s="24"/>
      <c r="D122" s="11"/>
      <c r="E122" s="11"/>
      <c r="F122" s="351"/>
      <c r="G122" s="43"/>
      <c r="H122" s="10"/>
      <c r="I122" s="10"/>
      <c r="J122" s="10"/>
      <c r="K122" s="52"/>
      <c r="L122" s="49" t="str">
        <f t="shared" si="53"/>
        <v/>
      </c>
      <c r="M122" s="329"/>
      <c r="N122" s="329"/>
      <c r="O122" s="329"/>
      <c r="P122" s="341"/>
      <c r="Q122" s="29"/>
    </row>
    <row r="123" spans="1:17">
      <c r="A123" s="336"/>
      <c r="B123" s="334"/>
      <c r="C123" s="24"/>
      <c r="D123" s="11"/>
      <c r="E123" s="11"/>
      <c r="F123" s="351"/>
      <c r="G123" s="43"/>
      <c r="H123" s="10"/>
      <c r="I123" s="10"/>
      <c r="J123" s="10"/>
      <c r="K123" s="52"/>
      <c r="L123" s="49" t="str">
        <f t="shared" si="53"/>
        <v/>
      </c>
      <c r="M123" s="329"/>
      <c r="N123" s="329"/>
      <c r="O123" s="329"/>
      <c r="P123" s="341"/>
      <c r="Q123" s="29"/>
    </row>
    <row r="124" spans="1:17" ht="15" thickBot="1">
      <c r="A124" s="337"/>
      <c r="B124" s="327"/>
      <c r="C124" s="30"/>
      <c r="D124" s="26"/>
      <c r="E124" s="26"/>
      <c r="F124" s="352"/>
      <c r="G124" s="44"/>
      <c r="H124" s="46"/>
      <c r="I124" s="46"/>
      <c r="J124" s="46"/>
      <c r="K124" s="47"/>
      <c r="L124" s="50" t="str">
        <f>IFERROR(AVERAGE(G124:K124)/60,"")</f>
        <v/>
      </c>
      <c r="M124" s="330"/>
      <c r="N124" s="330"/>
      <c r="O124" s="330"/>
      <c r="P124" s="342"/>
      <c r="Q124" s="31"/>
    </row>
    <row r="125" spans="1:17">
      <c r="A125" s="335"/>
      <c r="B125" s="326"/>
      <c r="C125" s="27"/>
      <c r="D125" s="25"/>
      <c r="E125" s="25"/>
      <c r="F125" s="350">
        <f t="shared" ref="F125" si="54">SUM(E125:E130)</f>
        <v>0</v>
      </c>
      <c r="G125" s="42"/>
      <c r="H125" s="45"/>
      <c r="I125" s="45"/>
      <c r="J125" s="45"/>
      <c r="K125" s="51"/>
      <c r="L125" s="48" t="str">
        <f>IFERROR(AVERAGE(G125:K125)/60,"")</f>
        <v/>
      </c>
      <c r="M125" s="328">
        <f>SUM(L125:L130)</f>
        <v>0</v>
      </c>
      <c r="N125" s="328">
        <f>IFERROR(M125*1.1,"")</f>
        <v>0</v>
      </c>
      <c r="O125" s="328" t="str">
        <f>IFERROR(60/N125,"")</f>
        <v/>
      </c>
      <c r="P125" s="340" t="str">
        <f>IFERROR(SUM(E125:E130)*O125/60,"")</f>
        <v/>
      </c>
      <c r="Q125" s="28"/>
    </row>
    <row r="126" spans="1:17">
      <c r="A126" s="336"/>
      <c r="B126" s="334"/>
      <c r="C126" s="24"/>
      <c r="D126" s="11"/>
      <c r="E126" s="11"/>
      <c r="F126" s="351"/>
      <c r="G126" s="43"/>
      <c r="H126" s="10"/>
      <c r="I126" s="10"/>
      <c r="J126" s="10"/>
      <c r="K126" s="52"/>
      <c r="L126" s="49" t="str">
        <f t="shared" ref="L126:L129" si="55">IFERROR(AVERAGE(G126:K126)/60,"")</f>
        <v/>
      </c>
      <c r="M126" s="329"/>
      <c r="N126" s="329"/>
      <c r="O126" s="329"/>
      <c r="P126" s="341"/>
      <c r="Q126" s="29"/>
    </row>
    <row r="127" spans="1:17">
      <c r="A127" s="336"/>
      <c r="B127" s="334"/>
      <c r="C127" s="24"/>
      <c r="D127" s="11"/>
      <c r="E127" s="11"/>
      <c r="F127" s="351"/>
      <c r="G127" s="43"/>
      <c r="H127" s="10"/>
      <c r="I127" s="10"/>
      <c r="J127" s="10"/>
      <c r="K127" s="52"/>
      <c r="L127" s="49" t="str">
        <f t="shared" si="55"/>
        <v/>
      </c>
      <c r="M127" s="329"/>
      <c r="N127" s="329"/>
      <c r="O127" s="329"/>
      <c r="P127" s="341"/>
      <c r="Q127" s="29"/>
    </row>
    <row r="128" spans="1:17">
      <c r="A128" s="336"/>
      <c r="B128" s="334"/>
      <c r="C128" s="24"/>
      <c r="D128" s="11"/>
      <c r="E128" s="11"/>
      <c r="F128" s="351"/>
      <c r="G128" s="43"/>
      <c r="H128" s="10"/>
      <c r="I128" s="10"/>
      <c r="J128" s="10"/>
      <c r="K128" s="52"/>
      <c r="L128" s="49" t="str">
        <f t="shared" si="55"/>
        <v/>
      </c>
      <c r="M128" s="329"/>
      <c r="N128" s="329"/>
      <c r="O128" s="329"/>
      <c r="P128" s="341"/>
      <c r="Q128" s="29"/>
    </row>
    <row r="129" spans="1:17">
      <c r="A129" s="336"/>
      <c r="B129" s="334"/>
      <c r="C129" s="24"/>
      <c r="D129" s="11"/>
      <c r="E129" s="11"/>
      <c r="F129" s="351"/>
      <c r="G129" s="43"/>
      <c r="H129" s="10"/>
      <c r="I129" s="10"/>
      <c r="J129" s="10"/>
      <c r="K129" s="52"/>
      <c r="L129" s="49" t="str">
        <f t="shared" si="55"/>
        <v/>
      </c>
      <c r="M129" s="329"/>
      <c r="N129" s="329"/>
      <c r="O129" s="329"/>
      <c r="P129" s="341"/>
      <c r="Q129" s="29"/>
    </row>
    <row r="130" spans="1:17" ht="15" thickBot="1">
      <c r="A130" s="337"/>
      <c r="B130" s="327"/>
      <c r="C130" s="30"/>
      <c r="D130" s="26"/>
      <c r="E130" s="26"/>
      <c r="F130" s="352"/>
      <c r="G130" s="44"/>
      <c r="H130" s="46"/>
      <c r="I130" s="46"/>
      <c r="J130" s="46"/>
      <c r="K130" s="47"/>
      <c r="L130" s="50" t="str">
        <f>IFERROR(AVERAGE(G130:K130)/60,"")</f>
        <v/>
      </c>
      <c r="M130" s="330"/>
      <c r="N130" s="330"/>
      <c r="O130" s="330"/>
      <c r="P130" s="342"/>
      <c r="Q130" s="31"/>
    </row>
    <row r="131" spans="1:17">
      <c r="A131" s="335"/>
      <c r="B131" s="326"/>
      <c r="C131" s="27"/>
      <c r="D131" s="25"/>
      <c r="E131" s="25"/>
      <c r="F131" s="350">
        <f t="shared" ref="F131" si="56">SUM(E131:E136)</f>
        <v>0</v>
      </c>
      <c r="G131" s="42"/>
      <c r="H131" s="45"/>
      <c r="I131" s="45"/>
      <c r="J131" s="45"/>
      <c r="K131" s="51"/>
      <c r="L131" s="48" t="str">
        <f>IFERROR(AVERAGE(G131:K131)/60,"")</f>
        <v/>
      </c>
      <c r="M131" s="328">
        <f>SUM(L131:L136)</f>
        <v>0</v>
      </c>
      <c r="N131" s="328">
        <f>IFERROR(M131*1.1,"")</f>
        <v>0</v>
      </c>
      <c r="O131" s="328" t="str">
        <f>IFERROR(60/N131,"")</f>
        <v/>
      </c>
      <c r="P131" s="340" t="str">
        <f t="shared" ref="P131" si="57">IFERROR(SUM(E131:E136)*O131/60,"")</f>
        <v/>
      </c>
      <c r="Q131" s="28"/>
    </row>
    <row r="132" spans="1:17">
      <c r="A132" s="336"/>
      <c r="B132" s="334"/>
      <c r="C132" s="24"/>
      <c r="D132" s="11"/>
      <c r="E132" s="11"/>
      <c r="F132" s="351"/>
      <c r="G132" s="43"/>
      <c r="H132" s="10"/>
      <c r="I132" s="10"/>
      <c r="J132" s="10"/>
      <c r="K132" s="52"/>
      <c r="L132" s="49" t="str">
        <f t="shared" ref="L132:L135" si="58">IFERROR(AVERAGE(G132:K132)/60,"")</f>
        <v/>
      </c>
      <c r="M132" s="329"/>
      <c r="N132" s="329"/>
      <c r="O132" s="329"/>
      <c r="P132" s="341"/>
      <c r="Q132" s="29"/>
    </row>
    <row r="133" spans="1:17">
      <c r="A133" s="336"/>
      <c r="B133" s="334"/>
      <c r="C133" s="24"/>
      <c r="D133" s="11"/>
      <c r="E133" s="11"/>
      <c r="F133" s="351"/>
      <c r="G133" s="43"/>
      <c r="H133" s="10"/>
      <c r="I133" s="10"/>
      <c r="J133" s="10"/>
      <c r="K133" s="52"/>
      <c r="L133" s="49" t="str">
        <f t="shared" si="58"/>
        <v/>
      </c>
      <c r="M133" s="329"/>
      <c r="N133" s="329"/>
      <c r="O133" s="329"/>
      <c r="P133" s="341"/>
      <c r="Q133" s="29"/>
    </row>
    <row r="134" spans="1:17">
      <c r="A134" s="336"/>
      <c r="B134" s="334"/>
      <c r="C134" s="24"/>
      <c r="D134" s="11"/>
      <c r="E134" s="11"/>
      <c r="F134" s="351"/>
      <c r="G134" s="43"/>
      <c r="H134" s="10"/>
      <c r="I134" s="10"/>
      <c r="J134" s="10"/>
      <c r="K134" s="52"/>
      <c r="L134" s="49" t="str">
        <f t="shared" si="58"/>
        <v/>
      </c>
      <c r="M134" s="329"/>
      <c r="N134" s="329"/>
      <c r="O134" s="329"/>
      <c r="P134" s="341"/>
      <c r="Q134" s="29"/>
    </row>
    <row r="135" spans="1:17">
      <c r="A135" s="336"/>
      <c r="B135" s="334"/>
      <c r="C135" s="24"/>
      <c r="D135" s="11"/>
      <c r="E135" s="11"/>
      <c r="F135" s="351"/>
      <c r="G135" s="43"/>
      <c r="H135" s="10"/>
      <c r="I135" s="10"/>
      <c r="J135" s="10"/>
      <c r="K135" s="52"/>
      <c r="L135" s="49" t="str">
        <f t="shared" si="58"/>
        <v/>
      </c>
      <c r="M135" s="329"/>
      <c r="N135" s="329"/>
      <c r="O135" s="329"/>
      <c r="P135" s="341"/>
      <c r="Q135" s="29"/>
    </row>
    <row r="136" spans="1:17" ht="15" thickBot="1">
      <c r="A136" s="337"/>
      <c r="B136" s="327"/>
      <c r="C136" s="30"/>
      <c r="D136" s="26"/>
      <c r="E136" s="26"/>
      <c r="F136" s="352"/>
      <c r="G136" s="44"/>
      <c r="H136" s="46"/>
      <c r="I136" s="46"/>
      <c r="J136" s="46"/>
      <c r="K136" s="47"/>
      <c r="L136" s="50" t="str">
        <f>IFERROR(AVERAGE(G136:K136)/60,"")</f>
        <v/>
      </c>
      <c r="M136" s="330"/>
      <c r="N136" s="330"/>
      <c r="O136" s="330"/>
      <c r="P136" s="342"/>
      <c r="Q136" s="31"/>
    </row>
    <row r="137" spans="1:17">
      <c r="A137" s="335"/>
      <c r="B137" s="326"/>
      <c r="C137" s="27"/>
      <c r="D137" s="25"/>
      <c r="E137" s="25"/>
      <c r="F137" s="350">
        <f t="shared" ref="F137" si="59">SUM(E137:E142)</f>
        <v>0</v>
      </c>
      <c r="G137" s="42"/>
      <c r="H137" s="45"/>
      <c r="I137" s="45"/>
      <c r="J137" s="45"/>
      <c r="K137" s="51"/>
      <c r="L137" s="48" t="str">
        <f>IFERROR(AVERAGE(G137:K137)/60,"")</f>
        <v/>
      </c>
      <c r="M137" s="328">
        <f>SUM(L137:L142)</f>
        <v>0</v>
      </c>
      <c r="N137" s="328">
        <f>IFERROR(M137*1.1,"")</f>
        <v>0</v>
      </c>
      <c r="O137" s="328" t="str">
        <f>IFERROR(60/N137,"")</f>
        <v/>
      </c>
      <c r="P137" s="340" t="str">
        <f t="shared" ref="P137" si="60">IFERROR(SUM(E137:E142)*O137/60,"")</f>
        <v/>
      </c>
      <c r="Q137" s="28"/>
    </row>
    <row r="138" spans="1:17">
      <c r="A138" s="336"/>
      <c r="B138" s="334"/>
      <c r="C138" s="24"/>
      <c r="D138" s="11"/>
      <c r="E138" s="11"/>
      <c r="F138" s="351"/>
      <c r="G138" s="43"/>
      <c r="H138" s="10"/>
      <c r="I138" s="10"/>
      <c r="J138" s="10"/>
      <c r="K138" s="52"/>
      <c r="L138" s="49" t="str">
        <f t="shared" ref="L138:L141" si="61">IFERROR(AVERAGE(G138:K138)/60,"")</f>
        <v/>
      </c>
      <c r="M138" s="329"/>
      <c r="N138" s="329"/>
      <c r="O138" s="329"/>
      <c r="P138" s="341"/>
      <c r="Q138" s="29"/>
    </row>
    <row r="139" spans="1:17">
      <c r="A139" s="336"/>
      <c r="B139" s="334"/>
      <c r="C139" s="24"/>
      <c r="D139" s="11"/>
      <c r="E139" s="11"/>
      <c r="F139" s="351"/>
      <c r="G139" s="43"/>
      <c r="H139" s="10"/>
      <c r="I139" s="10"/>
      <c r="J139" s="10"/>
      <c r="K139" s="52"/>
      <c r="L139" s="49" t="str">
        <f t="shared" si="61"/>
        <v/>
      </c>
      <c r="M139" s="329"/>
      <c r="N139" s="329"/>
      <c r="O139" s="329"/>
      <c r="P139" s="341"/>
      <c r="Q139" s="29"/>
    </row>
    <row r="140" spans="1:17">
      <c r="A140" s="336"/>
      <c r="B140" s="334"/>
      <c r="C140" s="24"/>
      <c r="D140" s="11"/>
      <c r="E140" s="11"/>
      <c r="F140" s="351"/>
      <c r="G140" s="43"/>
      <c r="H140" s="10"/>
      <c r="I140" s="10"/>
      <c r="J140" s="10"/>
      <c r="K140" s="52"/>
      <c r="L140" s="49" t="str">
        <f t="shared" si="61"/>
        <v/>
      </c>
      <c r="M140" s="329"/>
      <c r="N140" s="329"/>
      <c r="O140" s="329"/>
      <c r="P140" s="341"/>
      <c r="Q140" s="29"/>
    </row>
    <row r="141" spans="1:17">
      <c r="A141" s="336"/>
      <c r="B141" s="334"/>
      <c r="C141" s="24"/>
      <c r="D141" s="11"/>
      <c r="E141" s="11"/>
      <c r="F141" s="351"/>
      <c r="G141" s="43"/>
      <c r="H141" s="10"/>
      <c r="I141" s="10"/>
      <c r="J141" s="10"/>
      <c r="K141" s="52"/>
      <c r="L141" s="49" t="str">
        <f t="shared" si="61"/>
        <v/>
      </c>
      <c r="M141" s="329"/>
      <c r="N141" s="329"/>
      <c r="O141" s="329"/>
      <c r="P141" s="341"/>
      <c r="Q141" s="29"/>
    </row>
    <row r="142" spans="1:17" ht="15" thickBot="1">
      <c r="A142" s="337"/>
      <c r="B142" s="327"/>
      <c r="C142" s="30"/>
      <c r="D142" s="26"/>
      <c r="E142" s="26"/>
      <c r="F142" s="352"/>
      <c r="G142" s="44"/>
      <c r="H142" s="46"/>
      <c r="I142" s="46"/>
      <c r="J142" s="46"/>
      <c r="K142" s="47"/>
      <c r="L142" s="50" t="str">
        <f>IFERROR(AVERAGE(G142:K142)/60,"")</f>
        <v/>
      </c>
      <c r="M142" s="330"/>
      <c r="N142" s="330"/>
      <c r="O142" s="330"/>
      <c r="P142" s="342"/>
      <c r="Q142" s="31"/>
    </row>
    <row r="143" spans="1:17">
      <c r="A143" s="335"/>
      <c r="B143" s="326"/>
      <c r="C143" s="27"/>
      <c r="D143" s="25"/>
      <c r="E143" s="25"/>
      <c r="F143" s="350">
        <f t="shared" ref="F143" si="62">SUM(E143:E148)</f>
        <v>0</v>
      </c>
      <c r="G143" s="42"/>
      <c r="H143" s="45"/>
      <c r="I143" s="45"/>
      <c r="J143" s="45"/>
      <c r="K143" s="51"/>
      <c r="L143" s="48" t="str">
        <f>IFERROR(AVERAGE(G143:K143)/60,"")</f>
        <v/>
      </c>
      <c r="M143" s="328">
        <f>SUM(L143:L148)</f>
        <v>0</v>
      </c>
      <c r="N143" s="328">
        <f>IFERROR(M143*1.1,"")</f>
        <v>0</v>
      </c>
      <c r="O143" s="328" t="str">
        <f>IFERROR(60/N143,"")</f>
        <v/>
      </c>
      <c r="P143" s="340" t="str">
        <f t="shared" ref="P143" si="63">IFERROR(SUM(E143:E148)*O143/60,"")</f>
        <v/>
      </c>
      <c r="Q143" s="28"/>
    </row>
    <row r="144" spans="1:17">
      <c r="A144" s="336"/>
      <c r="B144" s="334"/>
      <c r="C144" s="24"/>
      <c r="D144" s="11"/>
      <c r="E144" s="11"/>
      <c r="F144" s="351"/>
      <c r="G144" s="43"/>
      <c r="H144" s="10"/>
      <c r="I144" s="10"/>
      <c r="J144" s="10"/>
      <c r="K144" s="52"/>
      <c r="L144" s="49" t="str">
        <f t="shared" ref="L144:L147" si="64">IFERROR(AVERAGE(G144:K144)/60,"")</f>
        <v/>
      </c>
      <c r="M144" s="329"/>
      <c r="N144" s="329"/>
      <c r="O144" s="329"/>
      <c r="P144" s="341"/>
      <c r="Q144" s="29"/>
    </row>
    <row r="145" spans="1:17">
      <c r="A145" s="336"/>
      <c r="B145" s="334"/>
      <c r="C145" s="24"/>
      <c r="D145" s="11"/>
      <c r="E145" s="11"/>
      <c r="F145" s="351"/>
      <c r="G145" s="43"/>
      <c r="H145" s="10"/>
      <c r="I145" s="10"/>
      <c r="J145" s="10"/>
      <c r="K145" s="52"/>
      <c r="L145" s="49" t="str">
        <f t="shared" si="64"/>
        <v/>
      </c>
      <c r="M145" s="329"/>
      <c r="N145" s="329"/>
      <c r="O145" s="329"/>
      <c r="P145" s="341"/>
      <c r="Q145" s="29"/>
    </row>
    <row r="146" spans="1:17">
      <c r="A146" s="336"/>
      <c r="B146" s="334"/>
      <c r="C146" s="24"/>
      <c r="D146" s="11"/>
      <c r="E146" s="11"/>
      <c r="F146" s="351"/>
      <c r="G146" s="43"/>
      <c r="H146" s="10"/>
      <c r="I146" s="10"/>
      <c r="J146" s="10"/>
      <c r="K146" s="52"/>
      <c r="L146" s="49" t="str">
        <f t="shared" si="64"/>
        <v/>
      </c>
      <c r="M146" s="329"/>
      <c r="N146" s="329"/>
      <c r="O146" s="329"/>
      <c r="P146" s="341"/>
      <c r="Q146" s="29"/>
    </row>
    <row r="147" spans="1:17">
      <c r="A147" s="336"/>
      <c r="B147" s="334"/>
      <c r="C147" s="24"/>
      <c r="D147" s="11"/>
      <c r="E147" s="11"/>
      <c r="F147" s="351"/>
      <c r="G147" s="43"/>
      <c r="H147" s="10"/>
      <c r="I147" s="10"/>
      <c r="J147" s="10"/>
      <c r="K147" s="52"/>
      <c r="L147" s="49" t="str">
        <f t="shared" si="64"/>
        <v/>
      </c>
      <c r="M147" s="329"/>
      <c r="N147" s="329"/>
      <c r="O147" s="329"/>
      <c r="P147" s="341"/>
      <c r="Q147" s="29"/>
    </row>
    <row r="148" spans="1:17" ht="15" thickBot="1">
      <c r="A148" s="337"/>
      <c r="B148" s="327"/>
      <c r="C148" s="30"/>
      <c r="D148" s="26"/>
      <c r="E148" s="26"/>
      <c r="F148" s="352"/>
      <c r="G148" s="44"/>
      <c r="H148" s="46"/>
      <c r="I148" s="46"/>
      <c r="J148" s="46"/>
      <c r="K148" s="47"/>
      <c r="L148" s="50" t="str">
        <f>IFERROR(AVERAGE(G148:K148)/60,"")</f>
        <v/>
      </c>
      <c r="M148" s="330"/>
      <c r="N148" s="330"/>
      <c r="O148" s="330"/>
      <c r="P148" s="342"/>
      <c r="Q148" s="31"/>
    </row>
    <row r="149" spans="1:17">
      <c r="A149" s="335"/>
      <c r="B149" s="326"/>
      <c r="C149" s="27"/>
      <c r="D149" s="25"/>
      <c r="E149" s="25"/>
      <c r="F149" s="350">
        <f t="shared" ref="F149" si="65">SUM(E149:E154)</f>
        <v>0</v>
      </c>
      <c r="G149" s="42"/>
      <c r="H149" s="45"/>
      <c r="I149" s="45"/>
      <c r="J149" s="45"/>
      <c r="K149" s="51"/>
      <c r="L149" s="48" t="str">
        <f>IFERROR(AVERAGE(G149:K149)/60,"")</f>
        <v/>
      </c>
      <c r="M149" s="328">
        <f>SUM(L149:L154)</f>
        <v>0</v>
      </c>
      <c r="N149" s="328">
        <f>IFERROR(M149*1.1,"")</f>
        <v>0</v>
      </c>
      <c r="O149" s="328" t="str">
        <f>IFERROR(60/N149,"")</f>
        <v/>
      </c>
      <c r="P149" s="340" t="str">
        <f t="shared" ref="P149" si="66">IFERROR(SUM(E149:E154)*O149/60,"")</f>
        <v/>
      </c>
      <c r="Q149" s="28"/>
    </row>
    <row r="150" spans="1:17">
      <c r="A150" s="336"/>
      <c r="B150" s="334"/>
      <c r="C150" s="24"/>
      <c r="D150" s="11"/>
      <c r="E150" s="11"/>
      <c r="F150" s="351"/>
      <c r="G150" s="43"/>
      <c r="H150" s="10"/>
      <c r="I150" s="10"/>
      <c r="J150" s="10"/>
      <c r="K150" s="52"/>
      <c r="L150" s="49" t="str">
        <f t="shared" ref="L150:L153" si="67">IFERROR(AVERAGE(G150:K150)/60,"")</f>
        <v/>
      </c>
      <c r="M150" s="329"/>
      <c r="N150" s="329"/>
      <c r="O150" s="329"/>
      <c r="P150" s="341"/>
      <c r="Q150" s="29"/>
    </row>
    <row r="151" spans="1:17">
      <c r="A151" s="336"/>
      <c r="B151" s="334"/>
      <c r="C151" s="24"/>
      <c r="D151" s="11"/>
      <c r="E151" s="11"/>
      <c r="F151" s="351"/>
      <c r="G151" s="43"/>
      <c r="H151" s="10"/>
      <c r="I151" s="10"/>
      <c r="J151" s="10"/>
      <c r="K151" s="52"/>
      <c r="L151" s="49" t="str">
        <f t="shared" si="67"/>
        <v/>
      </c>
      <c r="M151" s="329"/>
      <c r="N151" s="329"/>
      <c r="O151" s="329"/>
      <c r="P151" s="341"/>
      <c r="Q151" s="29"/>
    </row>
    <row r="152" spans="1:17">
      <c r="A152" s="336"/>
      <c r="B152" s="334"/>
      <c r="C152" s="24"/>
      <c r="D152" s="11"/>
      <c r="E152" s="11"/>
      <c r="F152" s="351"/>
      <c r="G152" s="43"/>
      <c r="H152" s="10"/>
      <c r="I152" s="10"/>
      <c r="J152" s="10"/>
      <c r="K152" s="52"/>
      <c r="L152" s="49" t="str">
        <f t="shared" si="67"/>
        <v/>
      </c>
      <c r="M152" s="329"/>
      <c r="N152" s="329"/>
      <c r="O152" s="329"/>
      <c r="P152" s="341"/>
      <c r="Q152" s="29"/>
    </row>
    <row r="153" spans="1:17">
      <c r="A153" s="336"/>
      <c r="B153" s="334"/>
      <c r="C153" s="24"/>
      <c r="D153" s="11"/>
      <c r="E153" s="11"/>
      <c r="F153" s="351"/>
      <c r="G153" s="43"/>
      <c r="H153" s="10"/>
      <c r="I153" s="10"/>
      <c r="J153" s="10"/>
      <c r="K153" s="52"/>
      <c r="L153" s="49" t="str">
        <f t="shared" si="67"/>
        <v/>
      </c>
      <c r="M153" s="329"/>
      <c r="N153" s="329"/>
      <c r="O153" s="329"/>
      <c r="P153" s="341"/>
      <c r="Q153" s="29"/>
    </row>
    <row r="154" spans="1:17" ht="15" thickBot="1">
      <c r="A154" s="337"/>
      <c r="B154" s="327"/>
      <c r="C154" s="30"/>
      <c r="D154" s="26"/>
      <c r="E154" s="26"/>
      <c r="F154" s="352"/>
      <c r="G154" s="44"/>
      <c r="H154" s="46"/>
      <c r="I154" s="46"/>
      <c r="J154" s="46"/>
      <c r="K154" s="47"/>
      <c r="L154" s="50" t="str">
        <f>IFERROR(AVERAGE(G154:K154)/60,"")</f>
        <v/>
      </c>
      <c r="M154" s="330"/>
      <c r="N154" s="330"/>
      <c r="O154" s="330"/>
      <c r="P154" s="342"/>
      <c r="Q154" s="31"/>
    </row>
    <row r="155" spans="1:17">
      <c r="A155" s="335"/>
      <c r="B155" s="326"/>
      <c r="C155" s="27"/>
      <c r="D155" s="25"/>
      <c r="E155" s="25"/>
      <c r="F155" s="350">
        <f t="shared" ref="F155" si="68">SUM(E155:E160)</f>
        <v>0</v>
      </c>
      <c r="G155" s="42"/>
      <c r="H155" s="45"/>
      <c r="I155" s="45"/>
      <c r="J155" s="45"/>
      <c r="K155" s="51"/>
      <c r="L155" s="48" t="str">
        <f>IFERROR(AVERAGE(G155:K155)/60,"")</f>
        <v/>
      </c>
      <c r="M155" s="328">
        <f>SUM(L155:L160)</f>
        <v>0</v>
      </c>
      <c r="N155" s="328">
        <f>IFERROR(M155*1.1,"")</f>
        <v>0</v>
      </c>
      <c r="O155" s="328" t="str">
        <f>IFERROR(60/N155,"")</f>
        <v/>
      </c>
      <c r="P155" s="340" t="str">
        <f>IFERROR(SUM(E155:E160)*O155/60,"")</f>
        <v/>
      </c>
      <c r="Q155" s="28"/>
    </row>
    <row r="156" spans="1:17">
      <c r="A156" s="336"/>
      <c r="B156" s="334"/>
      <c r="C156" s="24"/>
      <c r="D156" s="11"/>
      <c r="E156" s="11"/>
      <c r="F156" s="351"/>
      <c r="G156" s="43"/>
      <c r="H156" s="10"/>
      <c r="I156" s="10"/>
      <c r="J156" s="10"/>
      <c r="K156" s="52"/>
      <c r="L156" s="49" t="str">
        <f t="shared" ref="L156:L159" si="69">IFERROR(AVERAGE(G156:K156)/60,"")</f>
        <v/>
      </c>
      <c r="M156" s="329"/>
      <c r="N156" s="329"/>
      <c r="O156" s="329"/>
      <c r="P156" s="341"/>
      <c r="Q156" s="29"/>
    </row>
    <row r="157" spans="1:17">
      <c r="A157" s="336"/>
      <c r="B157" s="334"/>
      <c r="C157" s="24"/>
      <c r="D157" s="11"/>
      <c r="E157" s="11"/>
      <c r="F157" s="351"/>
      <c r="G157" s="43"/>
      <c r="H157" s="10"/>
      <c r="I157" s="10"/>
      <c r="J157" s="10"/>
      <c r="K157" s="52"/>
      <c r="L157" s="49" t="str">
        <f t="shared" si="69"/>
        <v/>
      </c>
      <c r="M157" s="329"/>
      <c r="N157" s="329"/>
      <c r="O157" s="329"/>
      <c r="P157" s="341"/>
      <c r="Q157" s="29"/>
    </row>
    <row r="158" spans="1:17">
      <c r="A158" s="336"/>
      <c r="B158" s="334"/>
      <c r="C158" s="24"/>
      <c r="D158" s="11"/>
      <c r="E158" s="11"/>
      <c r="F158" s="351"/>
      <c r="G158" s="43"/>
      <c r="H158" s="10"/>
      <c r="I158" s="10"/>
      <c r="J158" s="10"/>
      <c r="K158" s="52"/>
      <c r="L158" s="49" t="str">
        <f t="shared" si="69"/>
        <v/>
      </c>
      <c r="M158" s="329"/>
      <c r="N158" s="329"/>
      <c r="O158" s="329"/>
      <c r="P158" s="341"/>
      <c r="Q158" s="29"/>
    </row>
    <row r="159" spans="1:17">
      <c r="A159" s="336"/>
      <c r="B159" s="334"/>
      <c r="C159" s="24"/>
      <c r="D159" s="11"/>
      <c r="E159" s="11"/>
      <c r="F159" s="351"/>
      <c r="G159" s="43"/>
      <c r="H159" s="10"/>
      <c r="I159" s="10"/>
      <c r="J159" s="10"/>
      <c r="K159" s="52"/>
      <c r="L159" s="49" t="str">
        <f t="shared" si="69"/>
        <v/>
      </c>
      <c r="M159" s="329"/>
      <c r="N159" s="329"/>
      <c r="O159" s="329"/>
      <c r="P159" s="341"/>
      <c r="Q159" s="29"/>
    </row>
    <row r="160" spans="1:17" ht="15" thickBot="1">
      <c r="A160" s="337"/>
      <c r="B160" s="327"/>
      <c r="C160" s="30"/>
      <c r="D160" s="26"/>
      <c r="E160" s="26"/>
      <c r="F160" s="352"/>
      <c r="G160" s="44"/>
      <c r="H160" s="46"/>
      <c r="I160" s="46"/>
      <c r="J160" s="46"/>
      <c r="K160" s="47"/>
      <c r="L160" s="50" t="str">
        <f>IFERROR(AVERAGE(G160:K160)/60,"")</f>
        <v/>
      </c>
      <c r="M160" s="330"/>
      <c r="N160" s="330"/>
      <c r="O160" s="330"/>
      <c r="P160" s="342"/>
      <c r="Q160" s="31"/>
    </row>
    <row r="161" spans="1:17">
      <c r="A161" s="335"/>
      <c r="B161" s="326"/>
      <c r="C161" s="27"/>
      <c r="D161" s="25"/>
      <c r="E161" s="25"/>
      <c r="F161" s="350">
        <f t="shared" ref="F161" si="70">SUM(E161:E166)</f>
        <v>0</v>
      </c>
      <c r="G161" s="42"/>
      <c r="H161" s="45"/>
      <c r="I161" s="45"/>
      <c r="J161" s="45"/>
      <c r="K161" s="51"/>
      <c r="L161" s="48" t="str">
        <f>IFERROR(AVERAGE(G161:K161)/60,"")</f>
        <v/>
      </c>
      <c r="M161" s="328">
        <f>SUM(L161:L166)</f>
        <v>0</v>
      </c>
      <c r="N161" s="328">
        <f>IFERROR(M161*1.1,"")</f>
        <v>0</v>
      </c>
      <c r="O161" s="328" t="str">
        <f>IFERROR(60/N161,"")</f>
        <v/>
      </c>
      <c r="P161" s="340" t="str">
        <f t="shared" ref="P161" si="71">IFERROR(SUM(E161:E166)*O161/60,"")</f>
        <v/>
      </c>
      <c r="Q161" s="28"/>
    </row>
    <row r="162" spans="1:17">
      <c r="A162" s="336"/>
      <c r="B162" s="334"/>
      <c r="C162" s="24"/>
      <c r="D162" s="11"/>
      <c r="E162" s="11"/>
      <c r="F162" s="351"/>
      <c r="G162" s="43"/>
      <c r="H162" s="10"/>
      <c r="I162" s="10"/>
      <c r="J162" s="10"/>
      <c r="K162" s="52"/>
      <c r="L162" s="49" t="str">
        <f t="shared" ref="L162:L165" si="72">IFERROR(AVERAGE(G162:K162)/60,"")</f>
        <v/>
      </c>
      <c r="M162" s="329"/>
      <c r="N162" s="329"/>
      <c r="O162" s="329"/>
      <c r="P162" s="341"/>
      <c r="Q162" s="29"/>
    </row>
    <row r="163" spans="1:17">
      <c r="A163" s="336"/>
      <c r="B163" s="334"/>
      <c r="C163" s="24"/>
      <c r="D163" s="11"/>
      <c r="E163" s="11"/>
      <c r="F163" s="351"/>
      <c r="G163" s="43"/>
      <c r="H163" s="10"/>
      <c r="I163" s="10"/>
      <c r="J163" s="10"/>
      <c r="K163" s="52"/>
      <c r="L163" s="49" t="str">
        <f t="shared" si="72"/>
        <v/>
      </c>
      <c r="M163" s="329"/>
      <c r="N163" s="329"/>
      <c r="O163" s="329"/>
      <c r="P163" s="341"/>
      <c r="Q163" s="29"/>
    </row>
    <row r="164" spans="1:17">
      <c r="A164" s="336"/>
      <c r="B164" s="334"/>
      <c r="C164" s="24"/>
      <c r="D164" s="11"/>
      <c r="E164" s="11"/>
      <c r="F164" s="351"/>
      <c r="G164" s="43"/>
      <c r="H164" s="10"/>
      <c r="I164" s="10"/>
      <c r="J164" s="10"/>
      <c r="K164" s="52"/>
      <c r="L164" s="49" t="str">
        <f t="shared" si="72"/>
        <v/>
      </c>
      <c r="M164" s="329"/>
      <c r="N164" s="329"/>
      <c r="O164" s="329"/>
      <c r="P164" s="341"/>
      <c r="Q164" s="29"/>
    </row>
    <row r="165" spans="1:17">
      <c r="A165" s="336"/>
      <c r="B165" s="334"/>
      <c r="C165" s="24"/>
      <c r="D165" s="11"/>
      <c r="E165" s="11"/>
      <c r="F165" s="351"/>
      <c r="G165" s="43"/>
      <c r="H165" s="10"/>
      <c r="I165" s="10"/>
      <c r="J165" s="10"/>
      <c r="K165" s="52"/>
      <c r="L165" s="49" t="str">
        <f t="shared" si="72"/>
        <v/>
      </c>
      <c r="M165" s="329"/>
      <c r="N165" s="329"/>
      <c r="O165" s="329"/>
      <c r="P165" s="341"/>
      <c r="Q165" s="29"/>
    </row>
    <row r="166" spans="1:17" ht="15" thickBot="1">
      <c r="A166" s="337"/>
      <c r="B166" s="327"/>
      <c r="C166" s="30"/>
      <c r="D166" s="26"/>
      <c r="E166" s="26"/>
      <c r="F166" s="352"/>
      <c r="G166" s="44"/>
      <c r="H166" s="46"/>
      <c r="I166" s="46"/>
      <c r="J166" s="46"/>
      <c r="K166" s="47"/>
      <c r="L166" s="50" t="str">
        <f>IFERROR(AVERAGE(G166:K166)/60,"")</f>
        <v/>
      </c>
      <c r="M166" s="330"/>
      <c r="N166" s="330"/>
      <c r="O166" s="330"/>
      <c r="P166" s="342"/>
      <c r="Q166" s="31"/>
    </row>
    <row r="167" spans="1:17">
      <c r="A167" s="335"/>
      <c r="B167" s="326"/>
      <c r="C167" s="27"/>
      <c r="D167" s="25"/>
      <c r="E167" s="25"/>
      <c r="F167" s="350">
        <f t="shared" ref="F167" si="73">SUM(E167:E172)</f>
        <v>0</v>
      </c>
      <c r="G167" s="42"/>
      <c r="H167" s="45"/>
      <c r="I167" s="45"/>
      <c r="J167" s="45"/>
      <c r="K167" s="51"/>
      <c r="L167" s="48" t="str">
        <f>IFERROR(AVERAGE(G167:K167)/60,"")</f>
        <v/>
      </c>
      <c r="M167" s="328">
        <f>SUM(L167:L172)</f>
        <v>0</v>
      </c>
      <c r="N167" s="328">
        <f>IFERROR(M167*1.1,"")</f>
        <v>0</v>
      </c>
      <c r="O167" s="328" t="str">
        <f>IFERROR(60/N167,"")</f>
        <v/>
      </c>
      <c r="P167" s="340" t="str">
        <f t="shared" ref="P167" si="74">IFERROR(SUM(E167:E172)*O167/60,"")</f>
        <v/>
      </c>
      <c r="Q167" s="28"/>
    </row>
    <row r="168" spans="1:17">
      <c r="A168" s="336"/>
      <c r="B168" s="334"/>
      <c r="C168" s="24"/>
      <c r="D168" s="11"/>
      <c r="E168" s="11"/>
      <c r="F168" s="351"/>
      <c r="G168" s="43"/>
      <c r="H168" s="10"/>
      <c r="I168" s="10"/>
      <c r="J168" s="10"/>
      <c r="K168" s="52"/>
      <c r="L168" s="49" t="str">
        <f t="shared" ref="L168:L171" si="75">IFERROR(AVERAGE(G168:K168)/60,"")</f>
        <v/>
      </c>
      <c r="M168" s="329"/>
      <c r="N168" s="329"/>
      <c r="O168" s="329"/>
      <c r="P168" s="341"/>
      <c r="Q168" s="29"/>
    </row>
    <row r="169" spans="1:17">
      <c r="A169" s="336"/>
      <c r="B169" s="334"/>
      <c r="C169" s="24"/>
      <c r="D169" s="11"/>
      <c r="E169" s="11"/>
      <c r="F169" s="351"/>
      <c r="G169" s="43"/>
      <c r="H169" s="10"/>
      <c r="I169" s="10"/>
      <c r="J169" s="10"/>
      <c r="K169" s="52"/>
      <c r="L169" s="49" t="str">
        <f t="shared" si="75"/>
        <v/>
      </c>
      <c r="M169" s="329"/>
      <c r="N169" s="329"/>
      <c r="O169" s="329"/>
      <c r="P169" s="341"/>
      <c r="Q169" s="29"/>
    </row>
    <row r="170" spans="1:17">
      <c r="A170" s="336"/>
      <c r="B170" s="334"/>
      <c r="C170" s="24"/>
      <c r="D170" s="11"/>
      <c r="E170" s="11"/>
      <c r="F170" s="351"/>
      <c r="G170" s="43"/>
      <c r="H170" s="10"/>
      <c r="I170" s="10"/>
      <c r="J170" s="10"/>
      <c r="K170" s="52"/>
      <c r="L170" s="49" t="str">
        <f t="shared" si="75"/>
        <v/>
      </c>
      <c r="M170" s="329"/>
      <c r="N170" s="329"/>
      <c r="O170" s="329"/>
      <c r="P170" s="341"/>
      <c r="Q170" s="29"/>
    </row>
    <row r="171" spans="1:17">
      <c r="A171" s="336"/>
      <c r="B171" s="334"/>
      <c r="C171" s="24"/>
      <c r="D171" s="11"/>
      <c r="E171" s="11"/>
      <c r="F171" s="351"/>
      <c r="G171" s="43"/>
      <c r="H171" s="10"/>
      <c r="I171" s="10"/>
      <c r="J171" s="10"/>
      <c r="K171" s="52"/>
      <c r="L171" s="49" t="str">
        <f t="shared" si="75"/>
        <v/>
      </c>
      <c r="M171" s="329"/>
      <c r="N171" s="329"/>
      <c r="O171" s="329"/>
      <c r="P171" s="341"/>
      <c r="Q171" s="29"/>
    </row>
    <row r="172" spans="1:17" ht="15" thickBot="1">
      <c r="A172" s="337"/>
      <c r="B172" s="327"/>
      <c r="C172" s="30"/>
      <c r="D172" s="26"/>
      <c r="E172" s="26"/>
      <c r="F172" s="352"/>
      <c r="G172" s="44"/>
      <c r="H172" s="46"/>
      <c r="I172" s="46"/>
      <c r="J172" s="46"/>
      <c r="K172" s="47"/>
      <c r="L172" s="50" t="str">
        <f>IFERROR(AVERAGE(G172:K172)/60,"")</f>
        <v/>
      </c>
      <c r="M172" s="330"/>
      <c r="N172" s="330"/>
      <c r="O172" s="330"/>
      <c r="P172" s="342"/>
      <c r="Q172" s="31"/>
    </row>
    <row r="173" spans="1:17">
      <c r="A173" s="335"/>
      <c r="B173" s="326"/>
      <c r="C173" s="27"/>
      <c r="D173" s="25"/>
      <c r="E173" s="25"/>
      <c r="F173" s="350">
        <f t="shared" ref="F173" si="76">SUM(E173:E178)</f>
        <v>0</v>
      </c>
      <c r="G173" s="42"/>
      <c r="H173" s="45"/>
      <c r="I173" s="45"/>
      <c r="J173" s="45"/>
      <c r="K173" s="51"/>
      <c r="L173" s="48" t="str">
        <f>IFERROR(AVERAGE(G173:K173)/60,"")</f>
        <v/>
      </c>
      <c r="M173" s="328">
        <f>SUM(L173:L178)</f>
        <v>0</v>
      </c>
      <c r="N173" s="328">
        <f>IFERROR(M173*1.1,"")</f>
        <v>0</v>
      </c>
      <c r="O173" s="328" t="str">
        <f>IFERROR(60/N173,"")</f>
        <v/>
      </c>
      <c r="P173" s="340" t="str">
        <f t="shared" ref="P173" si="77">IFERROR(SUM(E173:E178)*O173/60,"")</f>
        <v/>
      </c>
      <c r="Q173" s="28"/>
    </row>
    <row r="174" spans="1:17">
      <c r="A174" s="336"/>
      <c r="B174" s="334"/>
      <c r="C174" s="24"/>
      <c r="D174" s="11"/>
      <c r="E174" s="11"/>
      <c r="F174" s="351"/>
      <c r="G174" s="43"/>
      <c r="H174" s="10"/>
      <c r="I174" s="10"/>
      <c r="J174" s="10"/>
      <c r="K174" s="52"/>
      <c r="L174" s="49" t="str">
        <f t="shared" ref="L174:L177" si="78">IFERROR(AVERAGE(G174:K174)/60,"")</f>
        <v/>
      </c>
      <c r="M174" s="329"/>
      <c r="N174" s="329"/>
      <c r="O174" s="329"/>
      <c r="P174" s="341"/>
      <c r="Q174" s="29"/>
    </row>
    <row r="175" spans="1:17">
      <c r="A175" s="336"/>
      <c r="B175" s="334"/>
      <c r="C175" s="24"/>
      <c r="D175" s="11"/>
      <c r="E175" s="11"/>
      <c r="F175" s="351"/>
      <c r="G175" s="43"/>
      <c r="H175" s="10"/>
      <c r="I175" s="10"/>
      <c r="J175" s="10"/>
      <c r="K175" s="52"/>
      <c r="L175" s="49" t="str">
        <f t="shared" si="78"/>
        <v/>
      </c>
      <c r="M175" s="329"/>
      <c r="N175" s="329"/>
      <c r="O175" s="329"/>
      <c r="P175" s="341"/>
      <c r="Q175" s="29"/>
    </row>
    <row r="176" spans="1:17">
      <c r="A176" s="336"/>
      <c r="B176" s="334"/>
      <c r="C176" s="24"/>
      <c r="D176" s="11"/>
      <c r="E176" s="11"/>
      <c r="F176" s="351"/>
      <c r="G176" s="43"/>
      <c r="H176" s="10"/>
      <c r="I176" s="10"/>
      <c r="J176" s="10"/>
      <c r="K176" s="52"/>
      <c r="L176" s="49" t="str">
        <f t="shared" si="78"/>
        <v/>
      </c>
      <c r="M176" s="329"/>
      <c r="N176" s="329"/>
      <c r="O176" s="329"/>
      <c r="P176" s="341"/>
      <c r="Q176" s="29"/>
    </row>
    <row r="177" spans="1:17">
      <c r="A177" s="336"/>
      <c r="B177" s="334"/>
      <c r="C177" s="24"/>
      <c r="D177" s="11"/>
      <c r="E177" s="11"/>
      <c r="F177" s="351"/>
      <c r="G177" s="43"/>
      <c r="H177" s="10"/>
      <c r="I177" s="10"/>
      <c r="J177" s="10"/>
      <c r="K177" s="52"/>
      <c r="L177" s="49" t="str">
        <f t="shared" si="78"/>
        <v/>
      </c>
      <c r="M177" s="329"/>
      <c r="N177" s="329"/>
      <c r="O177" s="329"/>
      <c r="P177" s="341"/>
      <c r="Q177" s="29"/>
    </row>
    <row r="178" spans="1:17" ht="15" thickBot="1">
      <c r="A178" s="337"/>
      <c r="B178" s="327"/>
      <c r="C178" s="30"/>
      <c r="D178" s="26"/>
      <c r="E178" s="26"/>
      <c r="F178" s="352"/>
      <c r="G178" s="44"/>
      <c r="H178" s="46"/>
      <c r="I178" s="46"/>
      <c r="J178" s="46"/>
      <c r="K178" s="47"/>
      <c r="L178" s="50" t="str">
        <f>IFERROR(AVERAGE(G178:K178)/60,"")</f>
        <v/>
      </c>
      <c r="M178" s="330"/>
      <c r="N178" s="330"/>
      <c r="O178" s="330"/>
      <c r="P178" s="342"/>
      <c r="Q178" s="31"/>
    </row>
    <row r="179" spans="1:17">
      <c r="A179" s="335"/>
      <c r="B179" s="326"/>
      <c r="C179" s="27"/>
      <c r="D179" s="25"/>
      <c r="E179" s="25"/>
      <c r="F179" s="350">
        <f t="shared" ref="F179" si="79">SUM(E179:E184)</f>
        <v>0</v>
      </c>
      <c r="G179" s="42"/>
      <c r="H179" s="45"/>
      <c r="I179" s="45"/>
      <c r="J179" s="45"/>
      <c r="K179" s="51"/>
      <c r="L179" s="48" t="str">
        <f>IFERROR(AVERAGE(G179:K179)/60,"")</f>
        <v/>
      </c>
      <c r="M179" s="328">
        <f>SUM(L179:L184)</f>
        <v>0</v>
      </c>
      <c r="N179" s="328">
        <f>IFERROR(M179*1.1,"")</f>
        <v>0</v>
      </c>
      <c r="O179" s="328" t="str">
        <f>IFERROR(60/N179,"")</f>
        <v/>
      </c>
      <c r="P179" s="340" t="str">
        <f t="shared" ref="P179" si="80">IFERROR(SUM(E179:E184)*O179/60,"")</f>
        <v/>
      </c>
      <c r="Q179" s="28"/>
    </row>
    <row r="180" spans="1:17">
      <c r="A180" s="336"/>
      <c r="B180" s="334"/>
      <c r="C180" s="24"/>
      <c r="D180" s="11"/>
      <c r="E180" s="11"/>
      <c r="F180" s="351"/>
      <c r="G180" s="43"/>
      <c r="H180" s="10"/>
      <c r="I180" s="10"/>
      <c r="J180" s="10"/>
      <c r="K180" s="52"/>
      <c r="L180" s="49" t="str">
        <f t="shared" ref="L180:L183" si="81">IFERROR(AVERAGE(G180:K180)/60,"")</f>
        <v/>
      </c>
      <c r="M180" s="329"/>
      <c r="N180" s="329"/>
      <c r="O180" s="329"/>
      <c r="P180" s="341"/>
      <c r="Q180" s="29"/>
    </row>
    <row r="181" spans="1:17">
      <c r="A181" s="336"/>
      <c r="B181" s="334"/>
      <c r="C181" s="24"/>
      <c r="D181" s="11"/>
      <c r="E181" s="11"/>
      <c r="F181" s="351"/>
      <c r="G181" s="43"/>
      <c r="H181" s="10"/>
      <c r="I181" s="10"/>
      <c r="J181" s="10"/>
      <c r="K181" s="52"/>
      <c r="L181" s="49" t="str">
        <f t="shared" si="81"/>
        <v/>
      </c>
      <c r="M181" s="329"/>
      <c r="N181" s="329"/>
      <c r="O181" s="329"/>
      <c r="P181" s="341"/>
      <c r="Q181" s="29"/>
    </row>
    <row r="182" spans="1:17">
      <c r="A182" s="336"/>
      <c r="B182" s="334"/>
      <c r="C182" s="24"/>
      <c r="D182" s="11"/>
      <c r="E182" s="11"/>
      <c r="F182" s="351"/>
      <c r="G182" s="43"/>
      <c r="H182" s="10"/>
      <c r="I182" s="10"/>
      <c r="J182" s="10"/>
      <c r="K182" s="52"/>
      <c r="L182" s="49" t="str">
        <f t="shared" si="81"/>
        <v/>
      </c>
      <c r="M182" s="329"/>
      <c r="N182" s="329"/>
      <c r="O182" s="329"/>
      <c r="P182" s="341"/>
      <c r="Q182" s="29"/>
    </row>
    <row r="183" spans="1:17">
      <c r="A183" s="336"/>
      <c r="B183" s="334"/>
      <c r="C183" s="24"/>
      <c r="D183" s="11"/>
      <c r="E183" s="11"/>
      <c r="F183" s="351"/>
      <c r="G183" s="43"/>
      <c r="H183" s="10"/>
      <c r="I183" s="10"/>
      <c r="J183" s="10"/>
      <c r="K183" s="52"/>
      <c r="L183" s="49" t="str">
        <f t="shared" si="81"/>
        <v/>
      </c>
      <c r="M183" s="329"/>
      <c r="N183" s="329"/>
      <c r="O183" s="329"/>
      <c r="P183" s="341"/>
      <c r="Q183" s="29"/>
    </row>
    <row r="184" spans="1:17" ht="15" thickBot="1">
      <c r="A184" s="337"/>
      <c r="B184" s="327"/>
      <c r="C184" s="30"/>
      <c r="D184" s="26"/>
      <c r="E184" s="26"/>
      <c r="F184" s="352"/>
      <c r="G184" s="44"/>
      <c r="H184" s="46"/>
      <c r="I184" s="46"/>
      <c r="J184" s="46"/>
      <c r="K184" s="47"/>
      <c r="L184" s="50" t="str">
        <f>IFERROR(AVERAGE(G184:K184)/60,"")</f>
        <v/>
      </c>
      <c r="M184" s="330"/>
      <c r="N184" s="330"/>
      <c r="O184" s="330"/>
      <c r="P184" s="342"/>
      <c r="Q184" s="31"/>
    </row>
    <row r="185" spans="1:17">
      <c r="A185" s="335"/>
      <c r="B185" s="326"/>
      <c r="C185" s="27"/>
      <c r="D185" s="25"/>
      <c r="E185" s="25"/>
      <c r="F185" s="350">
        <f t="shared" ref="F185" si="82">SUM(E185:E190)</f>
        <v>0</v>
      </c>
      <c r="G185" s="42"/>
      <c r="H185" s="45"/>
      <c r="I185" s="45"/>
      <c r="J185" s="45"/>
      <c r="K185" s="51"/>
      <c r="L185" s="48" t="str">
        <f>IFERROR(AVERAGE(G185:K185)/60,"")</f>
        <v/>
      </c>
      <c r="M185" s="328">
        <f>SUM(L185:L190)</f>
        <v>0</v>
      </c>
      <c r="N185" s="328">
        <f>IFERROR(M185*1.1,"")</f>
        <v>0</v>
      </c>
      <c r="O185" s="328" t="str">
        <f>IFERROR(60/N185,"")</f>
        <v/>
      </c>
      <c r="P185" s="340" t="str">
        <f>IFERROR(SUM(E185:E190)*O185/60,"")</f>
        <v/>
      </c>
      <c r="Q185" s="28"/>
    </row>
    <row r="186" spans="1:17">
      <c r="A186" s="336"/>
      <c r="B186" s="334"/>
      <c r="C186" s="24"/>
      <c r="D186" s="11"/>
      <c r="E186" s="11"/>
      <c r="F186" s="351"/>
      <c r="G186" s="43"/>
      <c r="H186" s="10"/>
      <c r="I186" s="10"/>
      <c r="J186" s="10"/>
      <c r="K186" s="52"/>
      <c r="L186" s="49" t="str">
        <f t="shared" ref="L186:L189" si="83">IFERROR(AVERAGE(G186:K186)/60,"")</f>
        <v/>
      </c>
      <c r="M186" s="329"/>
      <c r="N186" s="329"/>
      <c r="O186" s="329"/>
      <c r="P186" s="341"/>
      <c r="Q186" s="29"/>
    </row>
    <row r="187" spans="1:17">
      <c r="A187" s="336"/>
      <c r="B187" s="334"/>
      <c r="C187" s="24"/>
      <c r="D187" s="11"/>
      <c r="E187" s="11"/>
      <c r="F187" s="351"/>
      <c r="G187" s="43"/>
      <c r="H187" s="10"/>
      <c r="I187" s="10"/>
      <c r="J187" s="10"/>
      <c r="K187" s="52"/>
      <c r="L187" s="49" t="str">
        <f t="shared" si="83"/>
        <v/>
      </c>
      <c r="M187" s="329"/>
      <c r="N187" s="329"/>
      <c r="O187" s="329"/>
      <c r="P187" s="341"/>
      <c r="Q187" s="29"/>
    </row>
    <row r="188" spans="1:17">
      <c r="A188" s="336"/>
      <c r="B188" s="334"/>
      <c r="C188" s="24"/>
      <c r="D188" s="11"/>
      <c r="E188" s="11"/>
      <c r="F188" s="351"/>
      <c r="G188" s="43"/>
      <c r="H188" s="10"/>
      <c r="I188" s="10"/>
      <c r="J188" s="10"/>
      <c r="K188" s="52"/>
      <c r="L188" s="49" t="str">
        <f t="shared" si="83"/>
        <v/>
      </c>
      <c r="M188" s="329"/>
      <c r="N188" s="329"/>
      <c r="O188" s="329"/>
      <c r="P188" s="341"/>
      <c r="Q188" s="29"/>
    </row>
    <row r="189" spans="1:17">
      <c r="A189" s="336"/>
      <c r="B189" s="334"/>
      <c r="C189" s="24"/>
      <c r="D189" s="11"/>
      <c r="E189" s="11"/>
      <c r="F189" s="351"/>
      <c r="G189" s="43"/>
      <c r="H189" s="10"/>
      <c r="I189" s="10"/>
      <c r="J189" s="10"/>
      <c r="K189" s="52"/>
      <c r="L189" s="49" t="str">
        <f t="shared" si="83"/>
        <v/>
      </c>
      <c r="M189" s="329"/>
      <c r="N189" s="329"/>
      <c r="O189" s="329"/>
      <c r="P189" s="341"/>
      <c r="Q189" s="29"/>
    </row>
    <row r="190" spans="1:17" ht="15" thickBot="1">
      <c r="A190" s="337"/>
      <c r="B190" s="327"/>
      <c r="C190" s="30"/>
      <c r="D190" s="26"/>
      <c r="E190" s="26"/>
      <c r="F190" s="352"/>
      <c r="G190" s="44"/>
      <c r="H190" s="46"/>
      <c r="I190" s="46"/>
      <c r="J190" s="46"/>
      <c r="K190" s="47"/>
      <c r="L190" s="50" t="str">
        <f>IFERROR(AVERAGE(G190:K190)/60,"")</f>
        <v/>
      </c>
      <c r="M190" s="330"/>
      <c r="N190" s="330"/>
      <c r="O190" s="330"/>
      <c r="P190" s="342"/>
      <c r="Q190" s="31"/>
    </row>
    <row r="191" spans="1:17">
      <c r="A191" s="335"/>
      <c r="B191" s="326"/>
      <c r="C191" s="27"/>
      <c r="D191" s="25"/>
      <c r="E191" s="25"/>
      <c r="F191" s="350">
        <f t="shared" ref="F191" si="84">SUM(E191:E196)</f>
        <v>0</v>
      </c>
      <c r="G191" s="42"/>
      <c r="H191" s="45"/>
      <c r="I191" s="45"/>
      <c r="J191" s="45"/>
      <c r="K191" s="51"/>
      <c r="L191" s="48" t="str">
        <f>IFERROR(AVERAGE(G191:K191)/60,"")</f>
        <v/>
      </c>
      <c r="M191" s="328">
        <f>SUM(L191:L196)</f>
        <v>0</v>
      </c>
      <c r="N191" s="328">
        <f>IFERROR(M191*1.1,"")</f>
        <v>0</v>
      </c>
      <c r="O191" s="328" t="str">
        <f>IFERROR(60/N191,"")</f>
        <v/>
      </c>
      <c r="P191" s="340" t="str">
        <f t="shared" ref="P191" si="85">IFERROR(SUM(E191:E196)*O191/60,"")</f>
        <v/>
      </c>
      <c r="Q191" s="28"/>
    </row>
    <row r="192" spans="1:17">
      <c r="A192" s="336"/>
      <c r="B192" s="334"/>
      <c r="C192" s="24"/>
      <c r="D192" s="11"/>
      <c r="E192" s="11"/>
      <c r="F192" s="351"/>
      <c r="G192" s="43"/>
      <c r="H192" s="10"/>
      <c r="I192" s="10"/>
      <c r="J192" s="10"/>
      <c r="K192" s="52"/>
      <c r="L192" s="49" t="str">
        <f t="shared" ref="L192:L195" si="86">IFERROR(AVERAGE(G192:K192)/60,"")</f>
        <v/>
      </c>
      <c r="M192" s="329"/>
      <c r="N192" s="329"/>
      <c r="O192" s="329"/>
      <c r="P192" s="341"/>
      <c r="Q192" s="29"/>
    </row>
    <row r="193" spans="1:17">
      <c r="A193" s="336"/>
      <c r="B193" s="334"/>
      <c r="C193" s="24"/>
      <c r="D193" s="11"/>
      <c r="E193" s="11"/>
      <c r="F193" s="351"/>
      <c r="G193" s="43"/>
      <c r="H193" s="10"/>
      <c r="I193" s="10"/>
      <c r="J193" s="10"/>
      <c r="K193" s="52"/>
      <c r="L193" s="49" t="str">
        <f t="shared" si="86"/>
        <v/>
      </c>
      <c r="M193" s="329"/>
      <c r="N193" s="329"/>
      <c r="O193" s="329"/>
      <c r="P193" s="341"/>
      <c r="Q193" s="29"/>
    </row>
    <row r="194" spans="1:17">
      <c r="A194" s="336"/>
      <c r="B194" s="334"/>
      <c r="C194" s="24"/>
      <c r="D194" s="11"/>
      <c r="E194" s="11"/>
      <c r="F194" s="351"/>
      <c r="G194" s="43"/>
      <c r="H194" s="10"/>
      <c r="I194" s="10"/>
      <c r="J194" s="10"/>
      <c r="K194" s="52"/>
      <c r="L194" s="49" t="str">
        <f t="shared" si="86"/>
        <v/>
      </c>
      <c r="M194" s="329"/>
      <c r="N194" s="329"/>
      <c r="O194" s="329"/>
      <c r="P194" s="341"/>
      <c r="Q194" s="29"/>
    </row>
    <row r="195" spans="1:17">
      <c r="A195" s="336"/>
      <c r="B195" s="334"/>
      <c r="C195" s="24"/>
      <c r="D195" s="11"/>
      <c r="E195" s="11"/>
      <c r="F195" s="351"/>
      <c r="G195" s="43"/>
      <c r="H195" s="10"/>
      <c r="I195" s="10"/>
      <c r="J195" s="10"/>
      <c r="K195" s="52"/>
      <c r="L195" s="49" t="str">
        <f t="shared" si="86"/>
        <v/>
      </c>
      <c r="M195" s="329"/>
      <c r="N195" s="329"/>
      <c r="O195" s="329"/>
      <c r="P195" s="341"/>
      <c r="Q195" s="29"/>
    </row>
    <row r="196" spans="1:17" ht="15" thickBot="1">
      <c r="A196" s="337"/>
      <c r="B196" s="327"/>
      <c r="C196" s="30"/>
      <c r="D196" s="26"/>
      <c r="E196" s="26"/>
      <c r="F196" s="352"/>
      <c r="G196" s="44"/>
      <c r="H196" s="46"/>
      <c r="I196" s="46"/>
      <c r="J196" s="46"/>
      <c r="K196" s="47"/>
      <c r="L196" s="50" t="str">
        <f>IFERROR(AVERAGE(G196:K196)/60,"")</f>
        <v/>
      </c>
      <c r="M196" s="330"/>
      <c r="N196" s="330"/>
      <c r="O196" s="330"/>
      <c r="P196" s="342"/>
      <c r="Q196" s="31"/>
    </row>
    <row r="197" spans="1:17">
      <c r="A197" s="335"/>
      <c r="B197" s="326"/>
      <c r="C197" s="27"/>
      <c r="D197" s="25"/>
      <c r="E197" s="25"/>
      <c r="F197" s="350">
        <f t="shared" ref="F197" si="87">SUM(E197:E202)</f>
        <v>0</v>
      </c>
      <c r="G197" s="42"/>
      <c r="H197" s="45"/>
      <c r="I197" s="45"/>
      <c r="J197" s="45"/>
      <c r="K197" s="51"/>
      <c r="L197" s="48" t="str">
        <f>IFERROR(AVERAGE(G197:K197)/60,"")</f>
        <v/>
      </c>
      <c r="M197" s="328">
        <f>SUM(L197:L202)</f>
        <v>0</v>
      </c>
      <c r="N197" s="328">
        <f>IFERROR(M197*1.1,"")</f>
        <v>0</v>
      </c>
      <c r="O197" s="328" t="str">
        <f>IFERROR(60/N197,"")</f>
        <v/>
      </c>
      <c r="P197" s="340" t="str">
        <f t="shared" ref="P197" si="88">IFERROR(SUM(E197:E202)*O197/60,"")</f>
        <v/>
      </c>
      <c r="Q197" s="28"/>
    </row>
    <row r="198" spans="1:17">
      <c r="A198" s="336"/>
      <c r="B198" s="334"/>
      <c r="C198" s="24"/>
      <c r="D198" s="11"/>
      <c r="E198" s="11"/>
      <c r="F198" s="351"/>
      <c r="G198" s="43"/>
      <c r="H198" s="10"/>
      <c r="I198" s="10"/>
      <c r="J198" s="10"/>
      <c r="K198" s="52"/>
      <c r="L198" s="49" t="str">
        <f t="shared" ref="L198:L201" si="89">IFERROR(AVERAGE(G198:K198)/60,"")</f>
        <v/>
      </c>
      <c r="M198" s="329"/>
      <c r="N198" s="329"/>
      <c r="O198" s="329"/>
      <c r="P198" s="341"/>
      <c r="Q198" s="29"/>
    </row>
    <row r="199" spans="1:17">
      <c r="A199" s="336"/>
      <c r="B199" s="334"/>
      <c r="C199" s="24"/>
      <c r="D199" s="11"/>
      <c r="E199" s="11"/>
      <c r="F199" s="351"/>
      <c r="G199" s="43"/>
      <c r="H199" s="10"/>
      <c r="I199" s="10"/>
      <c r="J199" s="10"/>
      <c r="K199" s="52"/>
      <c r="L199" s="49" t="str">
        <f t="shared" si="89"/>
        <v/>
      </c>
      <c r="M199" s="329"/>
      <c r="N199" s="329"/>
      <c r="O199" s="329"/>
      <c r="P199" s="341"/>
      <c r="Q199" s="29"/>
    </row>
    <row r="200" spans="1:17">
      <c r="A200" s="336"/>
      <c r="B200" s="334"/>
      <c r="C200" s="24"/>
      <c r="D200" s="11"/>
      <c r="E200" s="11"/>
      <c r="F200" s="351"/>
      <c r="G200" s="43"/>
      <c r="H200" s="10"/>
      <c r="I200" s="10"/>
      <c r="J200" s="10"/>
      <c r="K200" s="52"/>
      <c r="L200" s="49" t="str">
        <f t="shared" si="89"/>
        <v/>
      </c>
      <c r="M200" s="329"/>
      <c r="N200" s="329"/>
      <c r="O200" s="329"/>
      <c r="P200" s="341"/>
      <c r="Q200" s="29"/>
    </row>
    <row r="201" spans="1:17">
      <c r="A201" s="336"/>
      <c r="B201" s="334"/>
      <c r="C201" s="24"/>
      <c r="D201" s="11"/>
      <c r="E201" s="11"/>
      <c r="F201" s="351"/>
      <c r="G201" s="43"/>
      <c r="H201" s="10"/>
      <c r="I201" s="10"/>
      <c r="J201" s="10"/>
      <c r="K201" s="52"/>
      <c r="L201" s="49" t="str">
        <f t="shared" si="89"/>
        <v/>
      </c>
      <c r="M201" s="329"/>
      <c r="N201" s="329"/>
      <c r="O201" s="329"/>
      <c r="P201" s="341"/>
      <c r="Q201" s="29"/>
    </row>
    <row r="202" spans="1:17" ht="15" thickBot="1">
      <c r="A202" s="337"/>
      <c r="B202" s="327"/>
      <c r="C202" s="30"/>
      <c r="D202" s="26"/>
      <c r="E202" s="26"/>
      <c r="F202" s="352"/>
      <c r="G202" s="44"/>
      <c r="H202" s="46"/>
      <c r="I202" s="46"/>
      <c r="J202" s="46"/>
      <c r="K202" s="47"/>
      <c r="L202" s="50" t="str">
        <f>IFERROR(AVERAGE(G202:K202)/60,"")</f>
        <v/>
      </c>
      <c r="M202" s="330"/>
      <c r="N202" s="330"/>
      <c r="O202" s="330"/>
      <c r="P202" s="342"/>
      <c r="Q202" s="31"/>
    </row>
    <row r="203" spans="1:17">
      <c r="A203" s="335"/>
      <c r="B203" s="326"/>
      <c r="C203" s="27"/>
      <c r="D203" s="25"/>
      <c r="E203" s="25"/>
      <c r="F203" s="350">
        <f t="shared" ref="F203" si="90">SUM(E203:E208)</f>
        <v>0</v>
      </c>
      <c r="G203" s="42"/>
      <c r="H203" s="45"/>
      <c r="I203" s="45"/>
      <c r="J203" s="45"/>
      <c r="K203" s="51"/>
      <c r="L203" s="48" t="str">
        <f>IFERROR(AVERAGE(G203:K203)/60,"")</f>
        <v/>
      </c>
      <c r="M203" s="328">
        <f>SUM(L203:L208)</f>
        <v>0</v>
      </c>
      <c r="N203" s="328">
        <f>IFERROR(M203*1.1,"")</f>
        <v>0</v>
      </c>
      <c r="O203" s="328" t="str">
        <f>IFERROR(60/N203,"")</f>
        <v/>
      </c>
      <c r="P203" s="340" t="str">
        <f t="shared" ref="P203" si="91">IFERROR(SUM(E203:E208)*O203/60,"")</f>
        <v/>
      </c>
      <c r="Q203" s="28"/>
    </row>
    <row r="204" spans="1:17">
      <c r="A204" s="336"/>
      <c r="B204" s="334"/>
      <c r="C204" s="24"/>
      <c r="D204" s="11"/>
      <c r="E204" s="11"/>
      <c r="F204" s="351"/>
      <c r="G204" s="43"/>
      <c r="H204" s="10"/>
      <c r="I204" s="10"/>
      <c r="J204" s="10"/>
      <c r="K204" s="52"/>
      <c r="L204" s="49" t="str">
        <f t="shared" ref="L204:L207" si="92">IFERROR(AVERAGE(G204:K204)/60,"")</f>
        <v/>
      </c>
      <c r="M204" s="329"/>
      <c r="N204" s="329"/>
      <c r="O204" s="329"/>
      <c r="P204" s="341"/>
      <c r="Q204" s="29"/>
    </row>
    <row r="205" spans="1:17">
      <c r="A205" s="336"/>
      <c r="B205" s="334"/>
      <c r="C205" s="24"/>
      <c r="D205" s="11"/>
      <c r="E205" s="11"/>
      <c r="F205" s="351"/>
      <c r="G205" s="43"/>
      <c r="H205" s="10"/>
      <c r="I205" s="10"/>
      <c r="J205" s="10"/>
      <c r="K205" s="52"/>
      <c r="L205" s="49" t="str">
        <f t="shared" si="92"/>
        <v/>
      </c>
      <c r="M205" s="329"/>
      <c r="N205" s="329"/>
      <c r="O205" s="329"/>
      <c r="P205" s="341"/>
      <c r="Q205" s="29"/>
    </row>
    <row r="206" spans="1:17">
      <c r="A206" s="336"/>
      <c r="B206" s="334"/>
      <c r="C206" s="24"/>
      <c r="D206" s="11"/>
      <c r="E206" s="11"/>
      <c r="F206" s="351"/>
      <c r="G206" s="43"/>
      <c r="H206" s="10"/>
      <c r="I206" s="10"/>
      <c r="J206" s="10"/>
      <c r="K206" s="52"/>
      <c r="L206" s="49" t="str">
        <f t="shared" si="92"/>
        <v/>
      </c>
      <c r="M206" s="329"/>
      <c r="N206" s="329"/>
      <c r="O206" s="329"/>
      <c r="P206" s="341"/>
      <c r="Q206" s="29"/>
    </row>
    <row r="207" spans="1:17">
      <c r="A207" s="336"/>
      <c r="B207" s="334"/>
      <c r="C207" s="24"/>
      <c r="D207" s="11"/>
      <c r="E207" s="11"/>
      <c r="F207" s="351"/>
      <c r="G207" s="43"/>
      <c r="H207" s="10"/>
      <c r="I207" s="10"/>
      <c r="J207" s="10"/>
      <c r="K207" s="52"/>
      <c r="L207" s="49" t="str">
        <f t="shared" si="92"/>
        <v/>
      </c>
      <c r="M207" s="329"/>
      <c r="N207" s="329"/>
      <c r="O207" s="329"/>
      <c r="P207" s="341"/>
      <c r="Q207" s="29"/>
    </row>
    <row r="208" spans="1:17" ht="15" thickBot="1">
      <c r="A208" s="337"/>
      <c r="B208" s="327"/>
      <c r="C208" s="30"/>
      <c r="D208" s="26"/>
      <c r="E208" s="26"/>
      <c r="F208" s="352"/>
      <c r="G208" s="44"/>
      <c r="H208" s="46"/>
      <c r="I208" s="46"/>
      <c r="J208" s="46"/>
      <c r="K208" s="47"/>
      <c r="L208" s="50" t="str">
        <f>IFERROR(AVERAGE(G208:K208)/60,"")</f>
        <v/>
      </c>
      <c r="M208" s="330"/>
      <c r="N208" s="330"/>
      <c r="O208" s="330"/>
      <c r="P208" s="342"/>
      <c r="Q208" s="31"/>
    </row>
    <row r="209" spans="1:17">
      <c r="A209" s="335"/>
      <c r="B209" s="326"/>
      <c r="C209" s="27"/>
      <c r="D209" s="25"/>
      <c r="E209" s="25"/>
      <c r="F209" s="350">
        <f t="shared" ref="F209" si="93">SUM(E209:E214)</f>
        <v>0</v>
      </c>
      <c r="G209" s="42"/>
      <c r="H209" s="45"/>
      <c r="I209" s="45"/>
      <c r="J209" s="45"/>
      <c r="K209" s="51"/>
      <c r="L209" s="48" t="str">
        <f>IFERROR(AVERAGE(G209:K209)/60,"")</f>
        <v/>
      </c>
      <c r="M209" s="328">
        <f>SUM(L209:L214)</f>
        <v>0</v>
      </c>
      <c r="N209" s="328">
        <f>IFERROR(M209*1.1,"")</f>
        <v>0</v>
      </c>
      <c r="O209" s="328" t="str">
        <f>IFERROR(60/N209,"")</f>
        <v/>
      </c>
      <c r="P209" s="340" t="str">
        <f t="shared" ref="P209" si="94">IFERROR(SUM(E209:E214)*O209/60,"")</f>
        <v/>
      </c>
      <c r="Q209" s="28"/>
    </row>
    <row r="210" spans="1:17">
      <c r="A210" s="336"/>
      <c r="B210" s="334"/>
      <c r="C210" s="24"/>
      <c r="D210" s="11"/>
      <c r="E210" s="11"/>
      <c r="F210" s="351"/>
      <c r="G210" s="43"/>
      <c r="H210" s="10"/>
      <c r="I210" s="10"/>
      <c r="J210" s="10"/>
      <c r="K210" s="52"/>
      <c r="L210" s="49" t="str">
        <f t="shared" ref="L210:L213" si="95">IFERROR(AVERAGE(G210:K210)/60,"")</f>
        <v/>
      </c>
      <c r="M210" s="329"/>
      <c r="N210" s="329"/>
      <c r="O210" s="329"/>
      <c r="P210" s="341"/>
      <c r="Q210" s="29"/>
    </row>
    <row r="211" spans="1:17">
      <c r="A211" s="336"/>
      <c r="B211" s="334"/>
      <c r="C211" s="24"/>
      <c r="D211" s="11"/>
      <c r="E211" s="11"/>
      <c r="F211" s="351"/>
      <c r="G211" s="43"/>
      <c r="H211" s="10"/>
      <c r="I211" s="10"/>
      <c r="J211" s="10"/>
      <c r="K211" s="52"/>
      <c r="L211" s="49" t="str">
        <f t="shared" si="95"/>
        <v/>
      </c>
      <c r="M211" s="329"/>
      <c r="N211" s="329"/>
      <c r="O211" s="329"/>
      <c r="P211" s="341"/>
      <c r="Q211" s="29"/>
    </row>
    <row r="212" spans="1:17">
      <c r="A212" s="336"/>
      <c r="B212" s="334"/>
      <c r="C212" s="24"/>
      <c r="D212" s="11"/>
      <c r="E212" s="11"/>
      <c r="F212" s="351"/>
      <c r="G212" s="43"/>
      <c r="H212" s="10"/>
      <c r="I212" s="10"/>
      <c r="J212" s="10"/>
      <c r="K212" s="52"/>
      <c r="L212" s="49" t="str">
        <f t="shared" si="95"/>
        <v/>
      </c>
      <c r="M212" s="329"/>
      <c r="N212" s="329"/>
      <c r="O212" s="329"/>
      <c r="P212" s="341"/>
      <c r="Q212" s="29"/>
    </row>
    <row r="213" spans="1:17">
      <c r="A213" s="336"/>
      <c r="B213" s="334"/>
      <c r="C213" s="24"/>
      <c r="D213" s="11"/>
      <c r="E213" s="11"/>
      <c r="F213" s="351"/>
      <c r="G213" s="43"/>
      <c r="H213" s="10"/>
      <c r="I213" s="10"/>
      <c r="J213" s="10"/>
      <c r="K213" s="52"/>
      <c r="L213" s="49" t="str">
        <f t="shared" si="95"/>
        <v/>
      </c>
      <c r="M213" s="329"/>
      <c r="N213" s="329"/>
      <c r="O213" s="329"/>
      <c r="P213" s="341"/>
      <c r="Q213" s="29"/>
    </row>
    <row r="214" spans="1:17" ht="15" thickBot="1">
      <c r="A214" s="337"/>
      <c r="B214" s="327"/>
      <c r="C214" s="30"/>
      <c r="D214" s="26"/>
      <c r="E214" s="26"/>
      <c r="F214" s="352"/>
      <c r="G214" s="44"/>
      <c r="H214" s="46"/>
      <c r="I214" s="46"/>
      <c r="J214" s="46"/>
      <c r="K214" s="47"/>
      <c r="L214" s="50" t="str">
        <f>IFERROR(AVERAGE(G214:K214)/60,"")</f>
        <v/>
      </c>
      <c r="M214" s="330"/>
      <c r="N214" s="330"/>
      <c r="O214" s="330"/>
      <c r="P214" s="342"/>
      <c r="Q214" s="31"/>
    </row>
    <row r="215" spans="1:17">
      <c r="A215" s="335"/>
      <c r="B215" s="326"/>
      <c r="C215" s="27"/>
      <c r="D215" s="25"/>
      <c r="E215" s="25"/>
      <c r="F215" s="350">
        <f t="shared" ref="F215" si="96">SUM(E215:E220)</f>
        <v>0</v>
      </c>
      <c r="G215" s="42"/>
      <c r="H215" s="45"/>
      <c r="I215" s="45"/>
      <c r="J215" s="45"/>
      <c r="K215" s="51"/>
      <c r="L215" s="48" t="str">
        <f>IFERROR(AVERAGE(G215:K215)/60,"")</f>
        <v/>
      </c>
      <c r="M215" s="328">
        <f>SUM(L215:L220)</f>
        <v>0</v>
      </c>
      <c r="N215" s="328">
        <f>IFERROR(M215*1.1,"")</f>
        <v>0</v>
      </c>
      <c r="O215" s="328" t="str">
        <f>IFERROR(60/N215,"")</f>
        <v/>
      </c>
      <c r="P215" s="340" t="str">
        <f>IFERROR(SUM(E215:E220)*O215/60,"")</f>
        <v/>
      </c>
      <c r="Q215" s="28"/>
    </row>
    <row r="216" spans="1:17">
      <c r="A216" s="336"/>
      <c r="B216" s="334"/>
      <c r="C216" s="24"/>
      <c r="D216" s="11"/>
      <c r="E216" s="11"/>
      <c r="F216" s="351"/>
      <c r="G216" s="43"/>
      <c r="H216" s="10"/>
      <c r="I216" s="10"/>
      <c r="J216" s="10"/>
      <c r="K216" s="52"/>
      <c r="L216" s="49" t="str">
        <f t="shared" ref="L216:L219" si="97">IFERROR(AVERAGE(G216:K216)/60,"")</f>
        <v/>
      </c>
      <c r="M216" s="329"/>
      <c r="N216" s="329"/>
      <c r="O216" s="329"/>
      <c r="P216" s="341"/>
      <c r="Q216" s="29"/>
    </row>
    <row r="217" spans="1:17">
      <c r="A217" s="336"/>
      <c r="B217" s="334"/>
      <c r="C217" s="24"/>
      <c r="D217" s="11"/>
      <c r="E217" s="11"/>
      <c r="F217" s="351"/>
      <c r="G217" s="43"/>
      <c r="H217" s="10"/>
      <c r="I217" s="10"/>
      <c r="J217" s="10"/>
      <c r="K217" s="52"/>
      <c r="L217" s="49" t="str">
        <f t="shared" si="97"/>
        <v/>
      </c>
      <c r="M217" s="329"/>
      <c r="N217" s="329"/>
      <c r="O217" s="329"/>
      <c r="P217" s="341"/>
      <c r="Q217" s="29"/>
    </row>
    <row r="218" spans="1:17">
      <c r="A218" s="336"/>
      <c r="B218" s="334"/>
      <c r="C218" s="24"/>
      <c r="D218" s="11"/>
      <c r="E218" s="11"/>
      <c r="F218" s="351"/>
      <c r="G218" s="43"/>
      <c r="H218" s="10"/>
      <c r="I218" s="10"/>
      <c r="J218" s="10"/>
      <c r="K218" s="52"/>
      <c r="L218" s="49" t="str">
        <f t="shared" si="97"/>
        <v/>
      </c>
      <c r="M218" s="329"/>
      <c r="N218" s="329"/>
      <c r="O218" s="329"/>
      <c r="P218" s="341"/>
      <c r="Q218" s="29"/>
    </row>
    <row r="219" spans="1:17">
      <c r="A219" s="336"/>
      <c r="B219" s="334"/>
      <c r="C219" s="24"/>
      <c r="D219" s="11"/>
      <c r="E219" s="11"/>
      <c r="F219" s="351"/>
      <c r="G219" s="43"/>
      <c r="H219" s="10"/>
      <c r="I219" s="10"/>
      <c r="J219" s="10"/>
      <c r="K219" s="52"/>
      <c r="L219" s="49" t="str">
        <f t="shared" si="97"/>
        <v/>
      </c>
      <c r="M219" s="329"/>
      <c r="N219" s="329"/>
      <c r="O219" s="329"/>
      <c r="P219" s="341"/>
      <c r="Q219" s="29"/>
    </row>
    <row r="220" spans="1:17" ht="15" thickBot="1">
      <c r="A220" s="337"/>
      <c r="B220" s="327"/>
      <c r="C220" s="30"/>
      <c r="D220" s="26"/>
      <c r="E220" s="26"/>
      <c r="F220" s="352"/>
      <c r="G220" s="44"/>
      <c r="H220" s="46"/>
      <c r="I220" s="46"/>
      <c r="J220" s="46"/>
      <c r="K220" s="47"/>
      <c r="L220" s="50" t="str">
        <f>IFERROR(AVERAGE(G220:K220)/60,"")</f>
        <v/>
      </c>
      <c r="M220" s="330"/>
      <c r="N220" s="330"/>
      <c r="O220" s="330"/>
      <c r="P220" s="342"/>
      <c r="Q220" s="31"/>
    </row>
    <row r="221" spans="1:17">
      <c r="A221" s="335"/>
      <c r="B221" s="326"/>
      <c r="C221" s="27"/>
      <c r="D221" s="25"/>
      <c r="E221" s="25"/>
      <c r="F221" s="350">
        <f t="shared" ref="F221" si="98">SUM(E221:E226)</f>
        <v>0</v>
      </c>
      <c r="G221" s="42"/>
      <c r="H221" s="45"/>
      <c r="I221" s="45"/>
      <c r="J221" s="45"/>
      <c r="K221" s="51"/>
      <c r="L221" s="48" t="str">
        <f>IFERROR(AVERAGE(G221:K221)/60,"")</f>
        <v/>
      </c>
      <c r="M221" s="328">
        <f>SUM(L221:L226)</f>
        <v>0</v>
      </c>
      <c r="N221" s="328">
        <f>IFERROR(M221*1.1,"")</f>
        <v>0</v>
      </c>
      <c r="O221" s="328" t="str">
        <f>IFERROR(60/N221,"")</f>
        <v/>
      </c>
      <c r="P221" s="340" t="str">
        <f t="shared" ref="P221" si="99">IFERROR(SUM(E221:E226)*O221/60,"")</f>
        <v/>
      </c>
      <c r="Q221" s="28"/>
    </row>
    <row r="222" spans="1:17">
      <c r="A222" s="336"/>
      <c r="B222" s="334"/>
      <c r="C222" s="24"/>
      <c r="D222" s="11"/>
      <c r="E222" s="11"/>
      <c r="F222" s="351"/>
      <c r="G222" s="43"/>
      <c r="H222" s="10"/>
      <c r="I222" s="10"/>
      <c r="J222" s="10"/>
      <c r="K222" s="52"/>
      <c r="L222" s="49" t="str">
        <f t="shared" ref="L222:L225" si="100">IFERROR(AVERAGE(G222:K222)/60,"")</f>
        <v/>
      </c>
      <c r="M222" s="329"/>
      <c r="N222" s="329"/>
      <c r="O222" s="329"/>
      <c r="P222" s="341"/>
      <c r="Q222" s="29"/>
    </row>
    <row r="223" spans="1:17">
      <c r="A223" s="336"/>
      <c r="B223" s="334"/>
      <c r="C223" s="24"/>
      <c r="D223" s="11"/>
      <c r="E223" s="11"/>
      <c r="F223" s="351"/>
      <c r="G223" s="43"/>
      <c r="H223" s="10"/>
      <c r="I223" s="10"/>
      <c r="J223" s="10"/>
      <c r="K223" s="52"/>
      <c r="L223" s="49" t="str">
        <f t="shared" si="100"/>
        <v/>
      </c>
      <c r="M223" s="329"/>
      <c r="N223" s="329"/>
      <c r="O223" s="329"/>
      <c r="P223" s="341"/>
      <c r="Q223" s="29"/>
    </row>
    <row r="224" spans="1:17">
      <c r="A224" s="336"/>
      <c r="B224" s="334"/>
      <c r="C224" s="24"/>
      <c r="D224" s="11"/>
      <c r="E224" s="11"/>
      <c r="F224" s="351"/>
      <c r="G224" s="43"/>
      <c r="H224" s="10"/>
      <c r="I224" s="10"/>
      <c r="J224" s="10"/>
      <c r="K224" s="52"/>
      <c r="L224" s="49" t="str">
        <f t="shared" si="100"/>
        <v/>
      </c>
      <c r="M224" s="329"/>
      <c r="N224" s="329"/>
      <c r="O224" s="329"/>
      <c r="P224" s="341"/>
      <c r="Q224" s="29"/>
    </row>
    <row r="225" spans="1:17">
      <c r="A225" s="336"/>
      <c r="B225" s="334"/>
      <c r="C225" s="24"/>
      <c r="D225" s="11"/>
      <c r="E225" s="11"/>
      <c r="F225" s="351"/>
      <c r="G225" s="43"/>
      <c r="H225" s="10"/>
      <c r="I225" s="10"/>
      <c r="J225" s="10"/>
      <c r="K225" s="52"/>
      <c r="L225" s="49" t="str">
        <f t="shared" si="100"/>
        <v/>
      </c>
      <c r="M225" s="329"/>
      <c r="N225" s="329"/>
      <c r="O225" s="329"/>
      <c r="P225" s="341"/>
      <c r="Q225" s="29"/>
    </row>
    <row r="226" spans="1:17" ht="15" thickBot="1">
      <c r="A226" s="337"/>
      <c r="B226" s="327"/>
      <c r="C226" s="30"/>
      <c r="D226" s="26"/>
      <c r="E226" s="26"/>
      <c r="F226" s="352"/>
      <c r="G226" s="44"/>
      <c r="H226" s="46"/>
      <c r="I226" s="46"/>
      <c r="J226" s="46"/>
      <c r="K226" s="47"/>
      <c r="L226" s="50" t="str">
        <f>IFERROR(AVERAGE(G226:K226)/60,"")</f>
        <v/>
      </c>
      <c r="M226" s="330"/>
      <c r="N226" s="330"/>
      <c r="O226" s="330"/>
      <c r="P226" s="342"/>
      <c r="Q226" s="31"/>
    </row>
    <row r="227" spans="1:17">
      <c r="A227" s="335"/>
      <c r="B227" s="326"/>
      <c r="C227" s="27"/>
      <c r="D227" s="25"/>
      <c r="E227" s="25"/>
      <c r="F227" s="350">
        <f t="shared" ref="F227" si="101">SUM(E227:E232)</f>
        <v>0</v>
      </c>
      <c r="G227" s="42"/>
      <c r="H227" s="45"/>
      <c r="I227" s="45"/>
      <c r="J227" s="45"/>
      <c r="K227" s="51"/>
      <c r="L227" s="48" t="str">
        <f>IFERROR(AVERAGE(G227:K227)/60,"")</f>
        <v/>
      </c>
      <c r="M227" s="328">
        <f>SUM(L227:L232)</f>
        <v>0</v>
      </c>
      <c r="N227" s="328">
        <f>IFERROR(M227*1.1,"")</f>
        <v>0</v>
      </c>
      <c r="O227" s="328" t="str">
        <f>IFERROR(60/N227,"")</f>
        <v/>
      </c>
      <c r="P227" s="340" t="str">
        <f t="shared" ref="P227" si="102">IFERROR(SUM(E227:E232)*O227/60,"")</f>
        <v/>
      </c>
      <c r="Q227" s="28"/>
    </row>
    <row r="228" spans="1:17">
      <c r="A228" s="336"/>
      <c r="B228" s="334"/>
      <c r="C228" s="24"/>
      <c r="D228" s="11"/>
      <c r="E228" s="11"/>
      <c r="F228" s="351"/>
      <c r="G228" s="43"/>
      <c r="H228" s="10"/>
      <c r="I228" s="10"/>
      <c r="J228" s="10"/>
      <c r="K228" s="52"/>
      <c r="L228" s="49" t="str">
        <f t="shared" ref="L228:L231" si="103">IFERROR(AVERAGE(G228:K228)/60,"")</f>
        <v/>
      </c>
      <c r="M228" s="329"/>
      <c r="N228" s="329"/>
      <c r="O228" s="329"/>
      <c r="P228" s="341"/>
      <c r="Q228" s="29"/>
    </row>
    <row r="229" spans="1:17">
      <c r="A229" s="336"/>
      <c r="B229" s="334"/>
      <c r="C229" s="24"/>
      <c r="D229" s="11"/>
      <c r="E229" s="11"/>
      <c r="F229" s="351"/>
      <c r="G229" s="43"/>
      <c r="H229" s="10"/>
      <c r="I229" s="10"/>
      <c r="J229" s="10"/>
      <c r="K229" s="52"/>
      <c r="L229" s="49" t="str">
        <f t="shared" si="103"/>
        <v/>
      </c>
      <c r="M229" s="329"/>
      <c r="N229" s="329"/>
      <c r="O229" s="329"/>
      <c r="P229" s="341"/>
      <c r="Q229" s="29"/>
    </row>
    <row r="230" spans="1:17">
      <c r="A230" s="336"/>
      <c r="B230" s="334"/>
      <c r="C230" s="24"/>
      <c r="D230" s="11"/>
      <c r="E230" s="11"/>
      <c r="F230" s="351"/>
      <c r="G230" s="43"/>
      <c r="H230" s="10"/>
      <c r="I230" s="10"/>
      <c r="J230" s="10"/>
      <c r="K230" s="52"/>
      <c r="L230" s="49" t="str">
        <f t="shared" si="103"/>
        <v/>
      </c>
      <c r="M230" s="329"/>
      <c r="N230" s="329"/>
      <c r="O230" s="329"/>
      <c r="P230" s="341"/>
      <c r="Q230" s="29"/>
    </row>
    <row r="231" spans="1:17">
      <c r="A231" s="336"/>
      <c r="B231" s="334"/>
      <c r="C231" s="24"/>
      <c r="D231" s="11"/>
      <c r="E231" s="11"/>
      <c r="F231" s="351"/>
      <c r="G231" s="43"/>
      <c r="H231" s="10"/>
      <c r="I231" s="10"/>
      <c r="J231" s="10"/>
      <c r="K231" s="52"/>
      <c r="L231" s="49" t="str">
        <f t="shared" si="103"/>
        <v/>
      </c>
      <c r="M231" s="329"/>
      <c r="N231" s="329"/>
      <c r="O231" s="329"/>
      <c r="P231" s="341"/>
      <c r="Q231" s="29"/>
    </row>
    <row r="232" spans="1:17" ht="15" thickBot="1">
      <c r="A232" s="337"/>
      <c r="B232" s="327"/>
      <c r="C232" s="30"/>
      <c r="D232" s="26"/>
      <c r="E232" s="26"/>
      <c r="F232" s="352"/>
      <c r="G232" s="44"/>
      <c r="H232" s="46"/>
      <c r="I232" s="46"/>
      <c r="J232" s="46"/>
      <c r="K232" s="47"/>
      <c r="L232" s="50" t="str">
        <f>IFERROR(AVERAGE(G232:K232)/60,"")</f>
        <v/>
      </c>
      <c r="M232" s="330"/>
      <c r="N232" s="330"/>
      <c r="O232" s="330"/>
      <c r="P232" s="342"/>
      <c r="Q232" s="31"/>
    </row>
    <row r="233" spans="1:17">
      <c r="A233" s="335"/>
      <c r="B233" s="326"/>
      <c r="C233" s="27"/>
      <c r="D233" s="25"/>
      <c r="E233" s="25"/>
      <c r="F233" s="350">
        <f t="shared" ref="F233" si="104">SUM(E233:E238)</f>
        <v>0</v>
      </c>
      <c r="G233" s="42"/>
      <c r="H233" s="45"/>
      <c r="I233" s="45"/>
      <c r="J233" s="45"/>
      <c r="K233" s="51"/>
      <c r="L233" s="48" t="str">
        <f>IFERROR(AVERAGE(G233:K233)/60,"")</f>
        <v/>
      </c>
      <c r="M233" s="328">
        <f>SUM(L233:L238)</f>
        <v>0</v>
      </c>
      <c r="N233" s="328">
        <f>IFERROR(M233*1.1,"")</f>
        <v>0</v>
      </c>
      <c r="O233" s="328" t="str">
        <f>IFERROR(60/N233,"")</f>
        <v/>
      </c>
      <c r="P233" s="340" t="str">
        <f t="shared" ref="P233" si="105">IFERROR(SUM(E233:E238)*O233/60,"")</f>
        <v/>
      </c>
      <c r="Q233" s="28"/>
    </row>
    <row r="234" spans="1:17">
      <c r="A234" s="336"/>
      <c r="B234" s="334"/>
      <c r="C234" s="24"/>
      <c r="D234" s="11"/>
      <c r="E234" s="11"/>
      <c r="F234" s="351"/>
      <c r="G234" s="43"/>
      <c r="H234" s="10"/>
      <c r="I234" s="10"/>
      <c r="J234" s="10"/>
      <c r="K234" s="52"/>
      <c r="L234" s="49" t="str">
        <f t="shared" ref="L234:L237" si="106">IFERROR(AVERAGE(G234:K234)/60,"")</f>
        <v/>
      </c>
      <c r="M234" s="329"/>
      <c r="N234" s="329"/>
      <c r="O234" s="329"/>
      <c r="P234" s="341"/>
      <c r="Q234" s="29"/>
    </row>
    <row r="235" spans="1:17">
      <c r="A235" s="336"/>
      <c r="B235" s="334"/>
      <c r="C235" s="24"/>
      <c r="D235" s="11"/>
      <c r="E235" s="11"/>
      <c r="F235" s="351"/>
      <c r="G235" s="43"/>
      <c r="H235" s="10"/>
      <c r="I235" s="10"/>
      <c r="J235" s="10"/>
      <c r="K235" s="52"/>
      <c r="L235" s="49" t="str">
        <f t="shared" si="106"/>
        <v/>
      </c>
      <c r="M235" s="329"/>
      <c r="N235" s="329"/>
      <c r="O235" s="329"/>
      <c r="P235" s="341"/>
      <c r="Q235" s="29"/>
    </row>
    <row r="236" spans="1:17">
      <c r="A236" s="336"/>
      <c r="B236" s="334"/>
      <c r="C236" s="24"/>
      <c r="D236" s="11"/>
      <c r="E236" s="11"/>
      <c r="F236" s="351"/>
      <c r="G236" s="43"/>
      <c r="H236" s="10"/>
      <c r="I236" s="10"/>
      <c r="J236" s="10"/>
      <c r="K236" s="52"/>
      <c r="L236" s="49" t="str">
        <f t="shared" si="106"/>
        <v/>
      </c>
      <c r="M236" s="329"/>
      <c r="N236" s="329"/>
      <c r="O236" s="329"/>
      <c r="P236" s="341"/>
      <c r="Q236" s="29"/>
    </row>
    <row r="237" spans="1:17">
      <c r="A237" s="336"/>
      <c r="B237" s="334"/>
      <c r="C237" s="24"/>
      <c r="D237" s="11"/>
      <c r="E237" s="11"/>
      <c r="F237" s="351"/>
      <c r="G237" s="43"/>
      <c r="H237" s="10"/>
      <c r="I237" s="10"/>
      <c r="J237" s="10"/>
      <c r="K237" s="52"/>
      <c r="L237" s="49" t="str">
        <f t="shared" si="106"/>
        <v/>
      </c>
      <c r="M237" s="329"/>
      <c r="N237" s="329"/>
      <c r="O237" s="329"/>
      <c r="P237" s="341"/>
      <c r="Q237" s="29"/>
    </row>
    <row r="238" spans="1:17" ht="15" thickBot="1">
      <c r="A238" s="337"/>
      <c r="B238" s="327"/>
      <c r="C238" s="30"/>
      <c r="D238" s="26"/>
      <c r="E238" s="26"/>
      <c r="F238" s="352"/>
      <c r="G238" s="44"/>
      <c r="H238" s="46"/>
      <c r="I238" s="46"/>
      <c r="J238" s="46"/>
      <c r="K238" s="47"/>
      <c r="L238" s="50" t="str">
        <f>IFERROR(AVERAGE(G238:K238)/60,"")</f>
        <v/>
      </c>
      <c r="M238" s="330"/>
      <c r="N238" s="330"/>
      <c r="O238" s="330"/>
      <c r="P238" s="342"/>
      <c r="Q238" s="31"/>
    </row>
    <row r="239" spans="1:17">
      <c r="A239" s="335"/>
      <c r="B239" s="326"/>
      <c r="C239" s="27"/>
      <c r="D239" s="25"/>
      <c r="E239" s="25"/>
      <c r="F239" s="350">
        <f t="shared" ref="F239" si="107">SUM(E239:E244)</f>
        <v>0</v>
      </c>
      <c r="G239" s="42"/>
      <c r="H239" s="45"/>
      <c r="I239" s="45"/>
      <c r="J239" s="45"/>
      <c r="K239" s="51"/>
      <c r="L239" s="48" t="str">
        <f>IFERROR(AVERAGE(G239:K239)/60,"")</f>
        <v/>
      </c>
      <c r="M239" s="328">
        <f>SUM(L239:L244)</f>
        <v>0</v>
      </c>
      <c r="N239" s="328">
        <f>IFERROR(M239*1.1,"")</f>
        <v>0</v>
      </c>
      <c r="O239" s="328" t="str">
        <f>IFERROR(60/N239,"")</f>
        <v/>
      </c>
      <c r="P239" s="340" t="str">
        <f t="shared" ref="P239" si="108">IFERROR(SUM(E239:E244)*O239/60,"")</f>
        <v/>
      </c>
      <c r="Q239" s="28"/>
    </row>
    <row r="240" spans="1:17">
      <c r="A240" s="336"/>
      <c r="B240" s="334"/>
      <c r="C240" s="24"/>
      <c r="D240" s="11"/>
      <c r="E240" s="11"/>
      <c r="F240" s="351"/>
      <c r="G240" s="43"/>
      <c r="H240" s="10"/>
      <c r="I240" s="10"/>
      <c r="J240" s="10"/>
      <c r="K240" s="52"/>
      <c r="L240" s="49" t="str">
        <f t="shared" ref="L240:L243" si="109">IFERROR(AVERAGE(G240:K240)/60,"")</f>
        <v/>
      </c>
      <c r="M240" s="329"/>
      <c r="N240" s="329"/>
      <c r="O240" s="329"/>
      <c r="P240" s="341"/>
      <c r="Q240" s="29"/>
    </row>
    <row r="241" spans="1:17">
      <c r="A241" s="336"/>
      <c r="B241" s="334"/>
      <c r="C241" s="24"/>
      <c r="D241" s="11"/>
      <c r="E241" s="11"/>
      <c r="F241" s="351"/>
      <c r="G241" s="43"/>
      <c r="H241" s="10"/>
      <c r="I241" s="10"/>
      <c r="J241" s="10"/>
      <c r="K241" s="52"/>
      <c r="L241" s="49" t="str">
        <f t="shared" si="109"/>
        <v/>
      </c>
      <c r="M241" s="329"/>
      <c r="N241" s="329"/>
      <c r="O241" s="329"/>
      <c r="P241" s="341"/>
      <c r="Q241" s="29"/>
    </row>
    <row r="242" spans="1:17">
      <c r="A242" s="336"/>
      <c r="B242" s="334"/>
      <c r="C242" s="24"/>
      <c r="D242" s="11"/>
      <c r="E242" s="11"/>
      <c r="F242" s="351"/>
      <c r="G242" s="43"/>
      <c r="H242" s="10"/>
      <c r="I242" s="10"/>
      <c r="J242" s="10"/>
      <c r="K242" s="52"/>
      <c r="L242" s="49" t="str">
        <f t="shared" si="109"/>
        <v/>
      </c>
      <c r="M242" s="329"/>
      <c r="N242" s="329"/>
      <c r="O242" s="329"/>
      <c r="P242" s="341"/>
      <c r="Q242" s="29"/>
    </row>
    <row r="243" spans="1:17">
      <c r="A243" s="336"/>
      <c r="B243" s="334"/>
      <c r="C243" s="24"/>
      <c r="D243" s="11"/>
      <c r="E243" s="11"/>
      <c r="F243" s="351"/>
      <c r="G243" s="43"/>
      <c r="H243" s="10"/>
      <c r="I243" s="10"/>
      <c r="J243" s="10"/>
      <c r="K243" s="52"/>
      <c r="L243" s="49" t="str">
        <f t="shared" si="109"/>
        <v/>
      </c>
      <c r="M243" s="329"/>
      <c r="N243" s="329"/>
      <c r="O243" s="329"/>
      <c r="P243" s="341"/>
      <c r="Q243" s="29"/>
    </row>
    <row r="244" spans="1:17" ht="15" thickBot="1">
      <c r="A244" s="337"/>
      <c r="B244" s="327"/>
      <c r="C244" s="30"/>
      <c r="D244" s="26"/>
      <c r="E244" s="26"/>
      <c r="F244" s="352"/>
      <c r="G244" s="44"/>
      <c r="H244" s="46"/>
      <c r="I244" s="46"/>
      <c r="J244" s="46"/>
      <c r="K244" s="47"/>
      <c r="L244" s="50" t="str">
        <f>IFERROR(AVERAGE(G244:K244)/60,"")</f>
        <v/>
      </c>
      <c r="M244" s="330"/>
      <c r="N244" s="330"/>
      <c r="O244" s="330"/>
      <c r="P244" s="342"/>
      <c r="Q244" s="31"/>
    </row>
    <row r="245" spans="1:17">
      <c r="A245" s="335"/>
      <c r="B245" s="326"/>
      <c r="C245" s="27"/>
      <c r="D245" s="25"/>
      <c r="E245" s="25"/>
      <c r="F245" s="350">
        <f t="shared" ref="F245" si="110">SUM(E245:E250)</f>
        <v>0</v>
      </c>
      <c r="G245" s="42"/>
      <c r="H245" s="45"/>
      <c r="I245" s="45"/>
      <c r="J245" s="45"/>
      <c r="K245" s="51"/>
      <c r="L245" s="48" t="str">
        <f>IFERROR(AVERAGE(G245:K245)/60,"")</f>
        <v/>
      </c>
      <c r="M245" s="328">
        <f>SUM(L245:L250)</f>
        <v>0</v>
      </c>
      <c r="N245" s="328">
        <f>IFERROR(M245*1.1,"")</f>
        <v>0</v>
      </c>
      <c r="O245" s="328" t="str">
        <f>IFERROR(60/N245,"")</f>
        <v/>
      </c>
      <c r="P245" s="340" t="str">
        <f>IFERROR(SUM(E245:E250)*O245/60,"")</f>
        <v/>
      </c>
      <c r="Q245" s="28"/>
    </row>
    <row r="246" spans="1:17">
      <c r="A246" s="336"/>
      <c r="B246" s="334"/>
      <c r="C246" s="24"/>
      <c r="D246" s="11"/>
      <c r="E246" s="11"/>
      <c r="F246" s="351"/>
      <c r="G246" s="43"/>
      <c r="H246" s="10"/>
      <c r="I246" s="10"/>
      <c r="J246" s="10"/>
      <c r="K246" s="52"/>
      <c r="L246" s="49" t="str">
        <f t="shared" ref="L246:L249" si="111">IFERROR(AVERAGE(G246:K246)/60,"")</f>
        <v/>
      </c>
      <c r="M246" s="329"/>
      <c r="N246" s="329"/>
      <c r="O246" s="329"/>
      <c r="P246" s="341"/>
      <c r="Q246" s="29"/>
    </row>
    <row r="247" spans="1:17">
      <c r="A247" s="336"/>
      <c r="B247" s="334"/>
      <c r="C247" s="24"/>
      <c r="D247" s="11"/>
      <c r="E247" s="11"/>
      <c r="F247" s="351"/>
      <c r="G247" s="43"/>
      <c r="H247" s="10"/>
      <c r="I247" s="10"/>
      <c r="J247" s="10"/>
      <c r="K247" s="52"/>
      <c r="L247" s="49" t="str">
        <f t="shared" si="111"/>
        <v/>
      </c>
      <c r="M247" s="329"/>
      <c r="N247" s="329"/>
      <c r="O247" s="329"/>
      <c r="P247" s="341"/>
      <c r="Q247" s="29"/>
    </row>
    <row r="248" spans="1:17">
      <c r="A248" s="336"/>
      <c r="B248" s="334"/>
      <c r="C248" s="24"/>
      <c r="D248" s="11"/>
      <c r="E248" s="11"/>
      <c r="F248" s="351"/>
      <c r="G248" s="43"/>
      <c r="H248" s="10"/>
      <c r="I248" s="10"/>
      <c r="J248" s="10"/>
      <c r="K248" s="52"/>
      <c r="L248" s="49" t="str">
        <f t="shared" si="111"/>
        <v/>
      </c>
      <c r="M248" s="329"/>
      <c r="N248" s="329"/>
      <c r="O248" s="329"/>
      <c r="P248" s="341"/>
      <c r="Q248" s="29"/>
    </row>
    <row r="249" spans="1:17">
      <c r="A249" s="336"/>
      <c r="B249" s="334"/>
      <c r="C249" s="24"/>
      <c r="D249" s="11"/>
      <c r="E249" s="11"/>
      <c r="F249" s="351"/>
      <c r="G249" s="43"/>
      <c r="H249" s="10"/>
      <c r="I249" s="10"/>
      <c r="J249" s="10"/>
      <c r="K249" s="52"/>
      <c r="L249" s="49" t="str">
        <f t="shared" si="111"/>
        <v/>
      </c>
      <c r="M249" s="329"/>
      <c r="N249" s="329"/>
      <c r="O249" s="329"/>
      <c r="P249" s="341"/>
      <c r="Q249" s="29"/>
    </row>
    <row r="250" spans="1:17" ht="15" thickBot="1">
      <c r="A250" s="337"/>
      <c r="B250" s="327"/>
      <c r="C250" s="30"/>
      <c r="D250" s="26"/>
      <c r="E250" s="26"/>
      <c r="F250" s="352"/>
      <c r="G250" s="44"/>
      <c r="H250" s="46"/>
      <c r="I250" s="46"/>
      <c r="J250" s="46"/>
      <c r="K250" s="47"/>
      <c r="L250" s="50" t="str">
        <f>IFERROR(AVERAGE(G250:K250)/60,"")</f>
        <v/>
      </c>
      <c r="M250" s="330"/>
      <c r="N250" s="330"/>
      <c r="O250" s="330"/>
      <c r="P250" s="342"/>
      <c r="Q250" s="31"/>
    </row>
    <row r="251" spans="1:17">
      <c r="A251" s="335"/>
      <c r="B251" s="326"/>
      <c r="C251" s="27"/>
      <c r="D251" s="25"/>
      <c r="E251" s="25"/>
      <c r="F251" s="350">
        <f t="shared" ref="F251" si="112">SUM(E251:E256)</f>
        <v>0</v>
      </c>
      <c r="G251" s="42"/>
      <c r="H251" s="45"/>
      <c r="I251" s="45"/>
      <c r="J251" s="45"/>
      <c r="K251" s="51"/>
      <c r="L251" s="48" t="str">
        <f>IFERROR(AVERAGE(G251:K251)/60,"")</f>
        <v/>
      </c>
      <c r="M251" s="328">
        <f>SUM(L251:L256)</f>
        <v>0</v>
      </c>
      <c r="N251" s="328">
        <f>IFERROR(M251*1.1,"")</f>
        <v>0</v>
      </c>
      <c r="O251" s="328" t="str">
        <f>IFERROR(60/N251,"")</f>
        <v/>
      </c>
      <c r="P251" s="340" t="str">
        <f t="shared" ref="P251" si="113">IFERROR(SUM(E251:E256)*O251/60,"")</f>
        <v/>
      </c>
      <c r="Q251" s="28"/>
    </row>
    <row r="252" spans="1:17">
      <c r="A252" s="336"/>
      <c r="B252" s="334"/>
      <c r="C252" s="24"/>
      <c r="D252" s="11"/>
      <c r="E252" s="11"/>
      <c r="F252" s="351"/>
      <c r="G252" s="43"/>
      <c r="H252" s="10"/>
      <c r="I252" s="10"/>
      <c r="J252" s="10"/>
      <c r="K252" s="52"/>
      <c r="L252" s="49" t="str">
        <f t="shared" ref="L252:L255" si="114">IFERROR(AVERAGE(G252:K252)/60,"")</f>
        <v/>
      </c>
      <c r="M252" s="329"/>
      <c r="N252" s="329"/>
      <c r="O252" s="329"/>
      <c r="P252" s="341"/>
      <c r="Q252" s="29"/>
    </row>
    <row r="253" spans="1:17">
      <c r="A253" s="336"/>
      <c r="B253" s="334"/>
      <c r="C253" s="24"/>
      <c r="D253" s="11"/>
      <c r="E253" s="11"/>
      <c r="F253" s="351"/>
      <c r="G253" s="43"/>
      <c r="H253" s="10"/>
      <c r="I253" s="10"/>
      <c r="J253" s="10"/>
      <c r="K253" s="52"/>
      <c r="L253" s="49" t="str">
        <f t="shared" si="114"/>
        <v/>
      </c>
      <c r="M253" s="329"/>
      <c r="N253" s="329"/>
      <c r="O253" s="329"/>
      <c r="P253" s="341"/>
      <c r="Q253" s="29"/>
    </row>
    <row r="254" spans="1:17">
      <c r="A254" s="336"/>
      <c r="B254" s="334"/>
      <c r="C254" s="24"/>
      <c r="D254" s="11"/>
      <c r="E254" s="11"/>
      <c r="F254" s="351"/>
      <c r="G254" s="43"/>
      <c r="H254" s="10"/>
      <c r="I254" s="10"/>
      <c r="J254" s="10"/>
      <c r="K254" s="52"/>
      <c r="L254" s="49" t="str">
        <f t="shared" si="114"/>
        <v/>
      </c>
      <c r="M254" s="329"/>
      <c r="N254" s="329"/>
      <c r="O254" s="329"/>
      <c r="P254" s="341"/>
      <c r="Q254" s="29"/>
    </row>
    <row r="255" spans="1:17">
      <c r="A255" s="336"/>
      <c r="B255" s="334"/>
      <c r="C255" s="24"/>
      <c r="D255" s="11"/>
      <c r="E255" s="11"/>
      <c r="F255" s="351"/>
      <c r="G255" s="43"/>
      <c r="H255" s="10"/>
      <c r="I255" s="10"/>
      <c r="J255" s="10"/>
      <c r="K255" s="52"/>
      <c r="L255" s="49" t="str">
        <f t="shared" si="114"/>
        <v/>
      </c>
      <c r="M255" s="329"/>
      <c r="N255" s="329"/>
      <c r="O255" s="329"/>
      <c r="P255" s="341"/>
      <c r="Q255" s="29"/>
    </row>
    <row r="256" spans="1:17" ht="15" thickBot="1">
      <c r="A256" s="337"/>
      <c r="B256" s="327"/>
      <c r="C256" s="30"/>
      <c r="D256" s="26"/>
      <c r="E256" s="26"/>
      <c r="F256" s="352"/>
      <c r="G256" s="44"/>
      <c r="H256" s="46"/>
      <c r="I256" s="46"/>
      <c r="J256" s="46"/>
      <c r="K256" s="47"/>
      <c r="L256" s="50" t="str">
        <f>IFERROR(AVERAGE(G256:K256)/60,"")</f>
        <v/>
      </c>
      <c r="M256" s="330"/>
      <c r="N256" s="330"/>
      <c r="O256" s="330"/>
      <c r="P256" s="342"/>
      <c r="Q256" s="31"/>
    </row>
    <row r="257" spans="1:17">
      <c r="A257" s="335"/>
      <c r="B257" s="326"/>
      <c r="C257" s="27"/>
      <c r="D257" s="25"/>
      <c r="E257" s="25"/>
      <c r="F257" s="350">
        <f t="shared" ref="F257" si="115">SUM(E257:E262)</f>
        <v>0</v>
      </c>
      <c r="G257" s="42"/>
      <c r="H257" s="45"/>
      <c r="I257" s="45"/>
      <c r="J257" s="45"/>
      <c r="K257" s="51"/>
      <c r="L257" s="48" t="str">
        <f>IFERROR(AVERAGE(G257:K257)/60,"")</f>
        <v/>
      </c>
      <c r="M257" s="328">
        <f>SUM(L257:L262)</f>
        <v>0</v>
      </c>
      <c r="N257" s="328">
        <f>IFERROR(M257*1.1,"")</f>
        <v>0</v>
      </c>
      <c r="O257" s="328" t="str">
        <f>IFERROR(60/N257,"")</f>
        <v/>
      </c>
      <c r="P257" s="340" t="str">
        <f t="shared" ref="P257" si="116">IFERROR(SUM(E257:E262)*O257/60,"")</f>
        <v/>
      </c>
      <c r="Q257" s="28"/>
    </row>
    <row r="258" spans="1:17">
      <c r="A258" s="336"/>
      <c r="B258" s="334"/>
      <c r="C258" s="24"/>
      <c r="D258" s="11"/>
      <c r="E258" s="11"/>
      <c r="F258" s="351"/>
      <c r="G258" s="43"/>
      <c r="H258" s="10"/>
      <c r="I258" s="10"/>
      <c r="J258" s="10"/>
      <c r="K258" s="52"/>
      <c r="L258" s="49" t="str">
        <f t="shared" ref="L258:L261" si="117">IFERROR(AVERAGE(G258:K258)/60,"")</f>
        <v/>
      </c>
      <c r="M258" s="329"/>
      <c r="N258" s="329"/>
      <c r="O258" s="329"/>
      <c r="P258" s="341"/>
      <c r="Q258" s="29"/>
    </row>
    <row r="259" spans="1:17">
      <c r="A259" s="336"/>
      <c r="B259" s="334"/>
      <c r="C259" s="24"/>
      <c r="D259" s="11"/>
      <c r="E259" s="11"/>
      <c r="F259" s="351"/>
      <c r="G259" s="43"/>
      <c r="H259" s="10"/>
      <c r="I259" s="10"/>
      <c r="J259" s="10"/>
      <c r="K259" s="52"/>
      <c r="L259" s="49" t="str">
        <f t="shared" si="117"/>
        <v/>
      </c>
      <c r="M259" s="329"/>
      <c r="N259" s="329"/>
      <c r="O259" s="329"/>
      <c r="P259" s="341"/>
      <c r="Q259" s="29"/>
    </row>
    <row r="260" spans="1:17">
      <c r="A260" s="336"/>
      <c r="B260" s="334"/>
      <c r="C260" s="24"/>
      <c r="D260" s="11"/>
      <c r="E260" s="11"/>
      <c r="F260" s="351"/>
      <c r="G260" s="43"/>
      <c r="H260" s="10"/>
      <c r="I260" s="10"/>
      <c r="J260" s="10"/>
      <c r="K260" s="52"/>
      <c r="L260" s="49" t="str">
        <f t="shared" si="117"/>
        <v/>
      </c>
      <c r="M260" s="329"/>
      <c r="N260" s="329"/>
      <c r="O260" s="329"/>
      <c r="P260" s="341"/>
      <c r="Q260" s="29"/>
    </row>
    <row r="261" spans="1:17">
      <c r="A261" s="336"/>
      <c r="B261" s="334"/>
      <c r="C261" s="24"/>
      <c r="D261" s="11"/>
      <c r="E261" s="11"/>
      <c r="F261" s="351"/>
      <c r="G261" s="43"/>
      <c r="H261" s="10"/>
      <c r="I261" s="10"/>
      <c r="J261" s="10"/>
      <c r="K261" s="52"/>
      <c r="L261" s="49" t="str">
        <f t="shared" si="117"/>
        <v/>
      </c>
      <c r="M261" s="329"/>
      <c r="N261" s="329"/>
      <c r="O261" s="329"/>
      <c r="P261" s="341"/>
      <c r="Q261" s="29"/>
    </row>
    <row r="262" spans="1:17" ht="15" thickBot="1">
      <c r="A262" s="337"/>
      <c r="B262" s="327"/>
      <c r="C262" s="30"/>
      <c r="D262" s="26"/>
      <c r="E262" s="26"/>
      <c r="F262" s="352"/>
      <c r="G262" s="44"/>
      <c r="H262" s="46"/>
      <c r="I262" s="46"/>
      <c r="J262" s="46"/>
      <c r="K262" s="47"/>
      <c r="L262" s="50" t="str">
        <f>IFERROR(AVERAGE(G262:K262)/60,"")</f>
        <v/>
      </c>
      <c r="M262" s="330"/>
      <c r="N262" s="330"/>
      <c r="O262" s="330"/>
      <c r="P262" s="342"/>
      <c r="Q262" s="31"/>
    </row>
    <row r="263" spans="1:17">
      <c r="A263" s="335"/>
      <c r="B263" s="326"/>
      <c r="C263" s="27"/>
      <c r="D263" s="25"/>
      <c r="E263" s="25"/>
      <c r="F263" s="350">
        <f t="shared" ref="F263" si="118">SUM(E263:E268)</f>
        <v>0</v>
      </c>
      <c r="G263" s="42"/>
      <c r="H263" s="45"/>
      <c r="I263" s="45"/>
      <c r="J263" s="45"/>
      <c r="K263" s="51"/>
      <c r="L263" s="48" t="str">
        <f>IFERROR(AVERAGE(G263:K263)/60,"")</f>
        <v/>
      </c>
      <c r="M263" s="328">
        <f>SUM(L263:L268)</f>
        <v>0</v>
      </c>
      <c r="N263" s="328">
        <f>IFERROR(M263*1.1,"")</f>
        <v>0</v>
      </c>
      <c r="O263" s="328" t="str">
        <f>IFERROR(60/N263,"")</f>
        <v/>
      </c>
      <c r="P263" s="340" t="str">
        <f t="shared" ref="P263" si="119">IFERROR(SUM(E263:E268)*O263/60,"")</f>
        <v/>
      </c>
      <c r="Q263" s="28"/>
    </row>
    <row r="264" spans="1:17">
      <c r="A264" s="336"/>
      <c r="B264" s="334"/>
      <c r="C264" s="24"/>
      <c r="D264" s="11"/>
      <c r="E264" s="11"/>
      <c r="F264" s="351"/>
      <c r="G264" s="43"/>
      <c r="H264" s="10"/>
      <c r="I264" s="10"/>
      <c r="J264" s="10"/>
      <c r="K264" s="52"/>
      <c r="L264" s="49" t="str">
        <f t="shared" ref="L264:L267" si="120">IFERROR(AVERAGE(G264:K264)/60,"")</f>
        <v/>
      </c>
      <c r="M264" s="329"/>
      <c r="N264" s="329"/>
      <c r="O264" s="329"/>
      <c r="P264" s="341"/>
      <c r="Q264" s="29"/>
    </row>
    <row r="265" spans="1:17">
      <c r="A265" s="336"/>
      <c r="B265" s="334"/>
      <c r="C265" s="24"/>
      <c r="D265" s="11"/>
      <c r="E265" s="11"/>
      <c r="F265" s="351"/>
      <c r="G265" s="43"/>
      <c r="H265" s="10"/>
      <c r="I265" s="10"/>
      <c r="J265" s="10"/>
      <c r="K265" s="52"/>
      <c r="L265" s="49" t="str">
        <f t="shared" si="120"/>
        <v/>
      </c>
      <c r="M265" s="329"/>
      <c r="N265" s="329"/>
      <c r="O265" s="329"/>
      <c r="P265" s="341"/>
      <c r="Q265" s="29"/>
    </row>
    <row r="266" spans="1:17">
      <c r="A266" s="336"/>
      <c r="B266" s="334"/>
      <c r="C266" s="24"/>
      <c r="D266" s="11"/>
      <c r="E266" s="11"/>
      <c r="F266" s="351"/>
      <c r="G266" s="43"/>
      <c r="H266" s="10"/>
      <c r="I266" s="10"/>
      <c r="J266" s="10"/>
      <c r="K266" s="52"/>
      <c r="L266" s="49" t="str">
        <f t="shared" si="120"/>
        <v/>
      </c>
      <c r="M266" s="329"/>
      <c r="N266" s="329"/>
      <c r="O266" s="329"/>
      <c r="P266" s="341"/>
      <c r="Q266" s="29"/>
    </row>
    <row r="267" spans="1:17">
      <c r="A267" s="336"/>
      <c r="B267" s="334"/>
      <c r="C267" s="24"/>
      <c r="D267" s="11"/>
      <c r="E267" s="11"/>
      <c r="F267" s="351"/>
      <c r="G267" s="43"/>
      <c r="H267" s="10"/>
      <c r="I267" s="10"/>
      <c r="J267" s="10"/>
      <c r="K267" s="52"/>
      <c r="L267" s="49" t="str">
        <f t="shared" si="120"/>
        <v/>
      </c>
      <c r="M267" s="329"/>
      <c r="N267" s="329"/>
      <c r="O267" s="329"/>
      <c r="P267" s="341"/>
      <c r="Q267" s="29"/>
    </row>
    <row r="268" spans="1:17" ht="15" thickBot="1">
      <c r="A268" s="337"/>
      <c r="B268" s="327"/>
      <c r="C268" s="30"/>
      <c r="D268" s="26"/>
      <c r="E268" s="26"/>
      <c r="F268" s="352"/>
      <c r="G268" s="44"/>
      <c r="H268" s="46"/>
      <c r="I268" s="46"/>
      <c r="J268" s="46"/>
      <c r="K268" s="47"/>
      <c r="L268" s="50" t="str">
        <f>IFERROR(AVERAGE(G268:K268)/60,"")</f>
        <v/>
      </c>
      <c r="M268" s="330"/>
      <c r="N268" s="330"/>
      <c r="O268" s="330"/>
      <c r="P268" s="342"/>
      <c r="Q268" s="31"/>
    </row>
    <row r="269" spans="1:17">
      <c r="A269" s="335"/>
      <c r="B269" s="326"/>
      <c r="C269" s="27"/>
      <c r="D269" s="25"/>
      <c r="E269" s="25"/>
      <c r="F269" s="350">
        <f t="shared" ref="F269" si="121">SUM(E269:E274)</f>
        <v>0</v>
      </c>
      <c r="G269" s="42"/>
      <c r="H269" s="45"/>
      <c r="I269" s="45"/>
      <c r="J269" s="45"/>
      <c r="K269" s="51"/>
      <c r="L269" s="48" t="str">
        <f>IFERROR(AVERAGE(G269:K269)/60,"")</f>
        <v/>
      </c>
      <c r="M269" s="328">
        <f>SUM(L269:L274)</f>
        <v>0</v>
      </c>
      <c r="N269" s="328">
        <f>IFERROR(M269*1.1,"")</f>
        <v>0</v>
      </c>
      <c r="O269" s="328" t="str">
        <f>IFERROR(60/N269,"")</f>
        <v/>
      </c>
      <c r="P269" s="340" t="str">
        <f t="shared" ref="P269" si="122">IFERROR(SUM(E269:E274)*O269/60,"")</f>
        <v/>
      </c>
      <c r="Q269" s="28"/>
    </row>
    <row r="270" spans="1:17">
      <c r="A270" s="336"/>
      <c r="B270" s="334"/>
      <c r="C270" s="24"/>
      <c r="D270" s="11"/>
      <c r="E270" s="11"/>
      <c r="F270" s="351"/>
      <c r="G270" s="43"/>
      <c r="H270" s="10"/>
      <c r="I270" s="10"/>
      <c r="J270" s="10"/>
      <c r="K270" s="52"/>
      <c r="L270" s="49" t="str">
        <f t="shared" ref="L270:L273" si="123">IFERROR(AVERAGE(G270:K270)/60,"")</f>
        <v/>
      </c>
      <c r="M270" s="329"/>
      <c r="N270" s="329"/>
      <c r="O270" s="329"/>
      <c r="P270" s="341"/>
      <c r="Q270" s="29"/>
    </row>
    <row r="271" spans="1:17">
      <c r="A271" s="336"/>
      <c r="B271" s="334"/>
      <c r="C271" s="24"/>
      <c r="D271" s="11"/>
      <c r="E271" s="11"/>
      <c r="F271" s="351"/>
      <c r="G271" s="43"/>
      <c r="H271" s="10"/>
      <c r="I271" s="10"/>
      <c r="J271" s="10"/>
      <c r="K271" s="52"/>
      <c r="L271" s="49" t="str">
        <f t="shared" si="123"/>
        <v/>
      </c>
      <c r="M271" s="329"/>
      <c r="N271" s="329"/>
      <c r="O271" s="329"/>
      <c r="P271" s="341"/>
      <c r="Q271" s="29"/>
    </row>
    <row r="272" spans="1:17">
      <c r="A272" s="336"/>
      <c r="B272" s="334"/>
      <c r="C272" s="24"/>
      <c r="D272" s="11"/>
      <c r="E272" s="11"/>
      <c r="F272" s="351"/>
      <c r="G272" s="43"/>
      <c r="H272" s="10"/>
      <c r="I272" s="10"/>
      <c r="J272" s="10"/>
      <c r="K272" s="52"/>
      <c r="L272" s="49" t="str">
        <f t="shared" si="123"/>
        <v/>
      </c>
      <c r="M272" s="329"/>
      <c r="N272" s="329"/>
      <c r="O272" s="329"/>
      <c r="P272" s="341"/>
      <c r="Q272" s="29"/>
    </row>
    <row r="273" spans="1:17">
      <c r="A273" s="336"/>
      <c r="B273" s="334"/>
      <c r="C273" s="24"/>
      <c r="D273" s="11"/>
      <c r="E273" s="11"/>
      <c r="F273" s="351"/>
      <c r="G273" s="43"/>
      <c r="H273" s="10"/>
      <c r="I273" s="10"/>
      <c r="J273" s="10"/>
      <c r="K273" s="52"/>
      <c r="L273" s="49" t="str">
        <f t="shared" si="123"/>
        <v/>
      </c>
      <c r="M273" s="329"/>
      <c r="N273" s="329"/>
      <c r="O273" s="329"/>
      <c r="P273" s="341"/>
      <c r="Q273" s="29"/>
    </row>
    <row r="274" spans="1:17" ht="15" thickBot="1">
      <c r="A274" s="337"/>
      <c r="B274" s="327"/>
      <c r="C274" s="30"/>
      <c r="D274" s="26"/>
      <c r="E274" s="26"/>
      <c r="F274" s="352"/>
      <c r="G274" s="44"/>
      <c r="H274" s="46"/>
      <c r="I274" s="46"/>
      <c r="J274" s="46"/>
      <c r="K274" s="47"/>
      <c r="L274" s="50" t="str">
        <f>IFERROR(AVERAGE(G274:K274)/60,"")</f>
        <v/>
      </c>
      <c r="M274" s="330"/>
      <c r="N274" s="330"/>
      <c r="O274" s="330"/>
      <c r="P274" s="342"/>
      <c r="Q274" s="31"/>
    </row>
    <row r="275" spans="1:17">
      <c r="A275" s="335"/>
      <c r="B275" s="326"/>
      <c r="C275" s="27"/>
      <c r="D275" s="25"/>
      <c r="E275" s="25"/>
      <c r="F275" s="350">
        <f t="shared" ref="F275" si="124">SUM(E275:E280)</f>
        <v>0</v>
      </c>
      <c r="G275" s="42"/>
      <c r="H275" s="45"/>
      <c r="I275" s="45"/>
      <c r="J275" s="45"/>
      <c r="K275" s="51"/>
      <c r="L275" s="48" t="str">
        <f>IFERROR(AVERAGE(G275:K275)/60,"")</f>
        <v/>
      </c>
      <c r="M275" s="328">
        <f>SUM(L275:L280)</f>
        <v>0</v>
      </c>
      <c r="N275" s="328">
        <f>IFERROR(M275*1.1,"")</f>
        <v>0</v>
      </c>
      <c r="O275" s="328" t="str">
        <f>IFERROR(60/N275,"")</f>
        <v/>
      </c>
      <c r="P275" s="340" t="str">
        <f>IFERROR(SUM(E275:E280)*O275/60,"")</f>
        <v/>
      </c>
      <c r="Q275" s="28"/>
    </row>
    <row r="276" spans="1:17">
      <c r="A276" s="336"/>
      <c r="B276" s="334"/>
      <c r="C276" s="24"/>
      <c r="D276" s="11"/>
      <c r="E276" s="11"/>
      <c r="F276" s="351"/>
      <c r="G276" s="43"/>
      <c r="H276" s="10"/>
      <c r="I276" s="10"/>
      <c r="J276" s="10"/>
      <c r="K276" s="52"/>
      <c r="L276" s="49" t="str">
        <f t="shared" ref="L276:L279" si="125">IFERROR(AVERAGE(G276:K276)/60,"")</f>
        <v/>
      </c>
      <c r="M276" s="329"/>
      <c r="N276" s="329"/>
      <c r="O276" s="329"/>
      <c r="P276" s="341"/>
      <c r="Q276" s="29"/>
    </row>
    <row r="277" spans="1:17">
      <c r="A277" s="336"/>
      <c r="B277" s="334"/>
      <c r="C277" s="24"/>
      <c r="D277" s="11"/>
      <c r="E277" s="11"/>
      <c r="F277" s="351"/>
      <c r="G277" s="43"/>
      <c r="H277" s="10"/>
      <c r="I277" s="10"/>
      <c r="J277" s="10"/>
      <c r="K277" s="52"/>
      <c r="L277" s="49" t="str">
        <f t="shared" si="125"/>
        <v/>
      </c>
      <c r="M277" s="329"/>
      <c r="N277" s="329"/>
      <c r="O277" s="329"/>
      <c r="P277" s="341"/>
      <c r="Q277" s="29"/>
    </row>
    <row r="278" spans="1:17">
      <c r="A278" s="336"/>
      <c r="B278" s="334"/>
      <c r="C278" s="24"/>
      <c r="D278" s="11"/>
      <c r="E278" s="11"/>
      <c r="F278" s="351"/>
      <c r="G278" s="43"/>
      <c r="H278" s="10"/>
      <c r="I278" s="10"/>
      <c r="J278" s="10"/>
      <c r="K278" s="52"/>
      <c r="L278" s="49" t="str">
        <f t="shared" si="125"/>
        <v/>
      </c>
      <c r="M278" s="329"/>
      <c r="N278" s="329"/>
      <c r="O278" s="329"/>
      <c r="P278" s="341"/>
      <c r="Q278" s="29"/>
    </row>
    <row r="279" spans="1:17">
      <c r="A279" s="336"/>
      <c r="B279" s="334"/>
      <c r="C279" s="24"/>
      <c r="D279" s="11"/>
      <c r="E279" s="11"/>
      <c r="F279" s="351"/>
      <c r="G279" s="43"/>
      <c r="H279" s="10"/>
      <c r="I279" s="10"/>
      <c r="J279" s="10"/>
      <c r="K279" s="52"/>
      <c r="L279" s="49" t="str">
        <f t="shared" si="125"/>
        <v/>
      </c>
      <c r="M279" s="329"/>
      <c r="N279" s="329"/>
      <c r="O279" s="329"/>
      <c r="P279" s="341"/>
      <c r="Q279" s="29"/>
    </row>
    <row r="280" spans="1:17" ht="15" thickBot="1">
      <c r="A280" s="337"/>
      <c r="B280" s="327"/>
      <c r="C280" s="30"/>
      <c r="D280" s="26"/>
      <c r="E280" s="26"/>
      <c r="F280" s="352"/>
      <c r="G280" s="44"/>
      <c r="H280" s="46"/>
      <c r="I280" s="46"/>
      <c r="J280" s="46"/>
      <c r="K280" s="47"/>
      <c r="L280" s="50" t="str">
        <f>IFERROR(AVERAGE(G280:K280)/60,"")</f>
        <v/>
      </c>
      <c r="M280" s="330"/>
      <c r="N280" s="330"/>
      <c r="O280" s="330"/>
      <c r="P280" s="342"/>
      <c r="Q280" s="31"/>
    </row>
    <row r="281" spans="1:17">
      <c r="A281" s="335"/>
      <c r="B281" s="326"/>
      <c r="C281" s="27"/>
      <c r="D281" s="25"/>
      <c r="E281" s="25"/>
      <c r="F281" s="350">
        <f t="shared" ref="F281" si="126">SUM(E281:E286)</f>
        <v>0</v>
      </c>
      <c r="G281" s="42"/>
      <c r="H281" s="45"/>
      <c r="I281" s="45"/>
      <c r="J281" s="45"/>
      <c r="K281" s="51"/>
      <c r="L281" s="48" t="str">
        <f>IFERROR(AVERAGE(G281:K281)/60,"")</f>
        <v/>
      </c>
      <c r="M281" s="328">
        <f>SUM(L281:L286)</f>
        <v>0</v>
      </c>
      <c r="N281" s="328">
        <f>IFERROR(M281*1.1,"")</f>
        <v>0</v>
      </c>
      <c r="O281" s="328" t="str">
        <f>IFERROR(60/N281,"")</f>
        <v/>
      </c>
      <c r="P281" s="340" t="str">
        <f t="shared" ref="P281" si="127">IFERROR(SUM(E281:E286)*O281/60,"")</f>
        <v/>
      </c>
      <c r="Q281" s="28"/>
    </row>
    <row r="282" spans="1:17">
      <c r="A282" s="336"/>
      <c r="B282" s="334"/>
      <c r="C282" s="24"/>
      <c r="D282" s="11"/>
      <c r="E282" s="11"/>
      <c r="F282" s="351"/>
      <c r="G282" s="43"/>
      <c r="H282" s="10"/>
      <c r="I282" s="10"/>
      <c r="J282" s="10"/>
      <c r="K282" s="52"/>
      <c r="L282" s="49" t="str">
        <f t="shared" ref="L282:L285" si="128">IFERROR(AVERAGE(G282:K282)/60,"")</f>
        <v/>
      </c>
      <c r="M282" s="329"/>
      <c r="N282" s="329"/>
      <c r="O282" s="329"/>
      <c r="P282" s="341"/>
      <c r="Q282" s="29"/>
    </row>
    <row r="283" spans="1:17">
      <c r="A283" s="336"/>
      <c r="B283" s="334"/>
      <c r="C283" s="24"/>
      <c r="D283" s="11"/>
      <c r="E283" s="11"/>
      <c r="F283" s="351"/>
      <c r="G283" s="43"/>
      <c r="H283" s="10"/>
      <c r="I283" s="10"/>
      <c r="J283" s="10"/>
      <c r="K283" s="52"/>
      <c r="L283" s="49" t="str">
        <f t="shared" si="128"/>
        <v/>
      </c>
      <c r="M283" s="329"/>
      <c r="N283" s="329"/>
      <c r="O283" s="329"/>
      <c r="P283" s="341"/>
      <c r="Q283" s="29"/>
    </row>
    <row r="284" spans="1:17">
      <c r="A284" s="336"/>
      <c r="B284" s="334"/>
      <c r="C284" s="24"/>
      <c r="D284" s="11"/>
      <c r="E284" s="11"/>
      <c r="F284" s="351"/>
      <c r="G284" s="43"/>
      <c r="H284" s="10"/>
      <c r="I284" s="10"/>
      <c r="J284" s="10"/>
      <c r="K284" s="52"/>
      <c r="L284" s="49" t="str">
        <f t="shared" si="128"/>
        <v/>
      </c>
      <c r="M284" s="329"/>
      <c r="N284" s="329"/>
      <c r="O284" s="329"/>
      <c r="P284" s="341"/>
      <c r="Q284" s="29"/>
    </row>
    <row r="285" spans="1:17">
      <c r="A285" s="336"/>
      <c r="B285" s="334"/>
      <c r="C285" s="24"/>
      <c r="D285" s="11"/>
      <c r="E285" s="11"/>
      <c r="F285" s="351"/>
      <c r="G285" s="43"/>
      <c r="H285" s="10"/>
      <c r="I285" s="10"/>
      <c r="J285" s="10"/>
      <c r="K285" s="52"/>
      <c r="L285" s="49" t="str">
        <f t="shared" si="128"/>
        <v/>
      </c>
      <c r="M285" s="329"/>
      <c r="N285" s="329"/>
      <c r="O285" s="329"/>
      <c r="P285" s="341"/>
      <c r="Q285" s="29"/>
    </row>
    <row r="286" spans="1:17" ht="15" thickBot="1">
      <c r="A286" s="337"/>
      <c r="B286" s="327"/>
      <c r="C286" s="30"/>
      <c r="D286" s="26"/>
      <c r="E286" s="26"/>
      <c r="F286" s="352"/>
      <c r="G286" s="44"/>
      <c r="H286" s="46"/>
      <c r="I286" s="46"/>
      <c r="J286" s="46"/>
      <c r="K286" s="47"/>
      <c r="L286" s="50" t="str">
        <f>IFERROR(AVERAGE(G286:K286)/60,"")</f>
        <v/>
      </c>
      <c r="M286" s="330"/>
      <c r="N286" s="330"/>
      <c r="O286" s="330"/>
      <c r="P286" s="342"/>
      <c r="Q286" s="31"/>
    </row>
    <row r="287" spans="1:17">
      <c r="A287" s="335"/>
      <c r="B287" s="326"/>
      <c r="C287" s="27"/>
      <c r="D287" s="25"/>
      <c r="E287" s="25"/>
      <c r="F287" s="350">
        <f t="shared" ref="F287" si="129">SUM(E287:E292)</f>
        <v>0</v>
      </c>
      <c r="G287" s="42"/>
      <c r="H287" s="45"/>
      <c r="I287" s="45"/>
      <c r="J287" s="45"/>
      <c r="K287" s="51"/>
      <c r="L287" s="48" t="str">
        <f>IFERROR(AVERAGE(G287:K287)/60,"")</f>
        <v/>
      </c>
      <c r="M287" s="328">
        <f>SUM(L287:L292)</f>
        <v>0</v>
      </c>
      <c r="N287" s="328">
        <f>IFERROR(M287*1.1,"")</f>
        <v>0</v>
      </c>
      <c r="O287" s="328" t="str">
        <f>IFERROR(60/N287,"")</f>
        <v/>
      </c>
      <c r="P287" s="340" t="str">
        <f t="shared" ref="P287" si="130">IFERROR(SUM(E287:E292)*O287/60,"")</f>
        <v/>
      </c>
      <c r="Q287" s="28"/>
    </row>
    <row r="288" spans="1:17">
      <c r="A288" s="336"/>
      <c r="B288" s="334"/>
      <c r="C288" s="24"/>
      <c r="D288" s="11"/>
      <c r="E288" s="11"/>
      <c r="F288" s="351"/>
      <c r="G288" s="43"/>
      <c r="H288" s="10"/>
      <c r="I288" s="10"/>
      <c r="J288" s="10"/>
      <c r="K288" s="52"/>
      <c r="L288" s="49" t="str">
        <f t="shared" ref="L288:L291" si="131">IFERROR(AVERAGE(G288:K288)/60,"")</f>
        <v/>
      </c>
      <c r="M288" s="329"/>
      <c r="N288" s="329"/>
      <c r="O288" s="329"/>
      <c r="P288" s="341"/>
      <c r="Q288" s="29"/>
    </row>
    <row r="289" spans="1:17">
      <c r="A289" s="336"/>
      <c r="B289" s="334"/>
      <c r="C289" s="24"/>
      <c r="D289" s="11"/>
      <c r="E289" s="11"/>
      <c r="F289" s="351"/>
      <c r="G289" s="43"/>
      <c r="H289" s="10"/>
      <c r="I289" s="10"/>
      <c r="J289" s="10"/>
      <c r="K289" s="52"/>
      <c r="L289" s="49" t="str">
        <f t="shared" si="131"/>
        <v/>
      </c>
      <c r="M289" s="329"/>
      <c r="N289" s="329"/>
      <c r="O289" s="329"/>
      <c r="P289" s="341"/>
      <c r="Q289" s="29"/>
    </row>
    <row r="290" spans="1:17">
      <c r="A290" s="336"/>
      <c r="B290" s="334"/>
      <c r="C290" s="24"/>
      <c r="D290" s="11"/>
      <c r="E290" s="11"/>
      <c r="F290" s="351"/>
      <c r="G290" s="43"/>
      <c r="H290" s="10"/>
      <c r="I290" s="10"/>
      <c r="J290" s="10"/>
      <c r="K290" s="52"/>
      <c r="L290" s="49" t="str">
        <f t="shared" si="131"/>
        <v/>
      </c>
      <c r="M290" s="329"/>
      <c r="N290" s="329"/>
      <c r="O290" s="329"/>
      <c r="P290" s="341"/>
      <c r="Q290" s="29"/>
    </row>
    <row r="291" spans="1:17">
      <c r="A291" s="336"/>
      <c r="B291" s="334"/>
      <c r="C291" s="24"/>
      <c r="D291" s="11"/>
      <c r="E291" s="11"/>
      <c r="F291" s="351"/>
      <c r="G291" s="43"/>
      <c r="H291" s="10"/>
      <c r="I291" s="10"/>
      <c r="J291" s="10"/>
      <c r="K291" s="52"/>
      <c r="L291" s="49" t="str">
        <f t="shared" si="131"/>
        <v/>
      </c>
      <c r="M291" s="329"/>
      <c r="N291" s="329"/>
      <c r="O291" s="329"/>
      <c r="P291" s="341"/>
      <c r="Q291" s="29"/>
    </row>
    <row r="292" spans="1:17" ht="15" thickBot="1">
      <c r="A292" s="337"/>
      <c r="B292" s="327"/>
      <c r="C292" s="30"/>
      <c r="D292" s="26"/>
      <c r="E292" s="26"/>
      <c r="F292" s="352"/>
      <c r="G292" s="44"/>
      <c r="H292" s="46"/>
      <c r="I292" s="46"/>
      <c r="J292" s="46"/>
      <c r="K292" s="47"/>
      <c r="L292" s="50" t="str">
        <f>IFERROR(AVERAGE(G292:K292)/60,"")</f>
        <v/>
      </c>
      <c r="M292" s="330"/>
      <c r="N292" s="330"/>
      <c r="O292" s="330"/>
      <c r="P292" s="342"/>
      <c r="Q292" s="31"/>
    </row>
    <row r="293" spans="1:17">
      <c r="A293" s="335"/>
      <c r="B293" s="326"/>
      <c r="C293" s="27"/>
      <c r="D293" s="25"/>
      <c r="E293" s="25"/>
      <c r="F293" s="350">
        <f t="shared" ref="F293" si="132">SUM(E293:E298)</f>
        <v>0</v>
      </c>
      <c r="G293" s="42"/>
      <c r="H293" s="45"/>
      <c r="I293" s="45"/>
      <c r="J293" s="45"/>
      <c r="K293" s="51"/>
      <c r="L293" s="48" t="str">
        <f>IFERROR(AVERAGE(G293:K293)/60,"")</f>
        <v/>
      </c>
      <c r="M293" s="328">
        <f>SUM(L293:L298)</f>
        <v>0</v>
      </c>
      <c r="N293" s="328">
        <f>IFERROR(M293*1.1,"")</f>
        <v>0</v>
      </c>
      <c r="O293" s="328" t="str">
        <f>IFERROR(60/N293,"")</f>
        <v/>
      </c>
      <c r="P293" s="340" t="str">
        <f t="shared" ref="P293" si="133">IFERROR(SUM(E293:E298)*O293/60,"")</f>
        <v/>
      </c>
      <c r="Q293" s="28"/>
    </row>
    <row r="294" spans="1:17">
      <c r="A294" s="336"/>
      <c r="B294" s="334"/>
      <c r="C294" s="24"/>
      <c r="D294" s="11"/>
      <c r="E294" s="11"/>
      <c r="F294" s="351"/>
      <c r="G294" s="43"/>
      <c r="H294" s="10"/>
      <c r="I294" s="10"/>
      <c r="J294" s="10"/>
      <c r="K294" s="52"/>
      <c r="L294" s="49" t="str">
        <f t="shared" ref="L294:L297" si="134">IFERROR(AVERAGE(G294:K294)/60,"")</f>
        <v/>
      </c>
      <c r="M294" s="329"/>
      <c r="N294" s="329"/>
      <c r="O294" s="329"/>
      <c r="P294" s="341"/>
      <c r="Q294" s="29"/>
    </row>
    <row r="295" spans="1:17">
      <c r="A295" s="336"/>
      <c r="B295" s="334"/>
      <c r="C295" s="24"/>
      <c r="D295" s="11"/>
      <c r="E295" s="11"/>
      <c r="F295" s="351"/>
      <c r="G295" s="43"/>
      <c r="H295" s="10"/>
      <c r="I295" s="10"/>
      <c r="J295" s="10"/>
      <c r="K295" s="52"/>
      <c r="L295" s="49" t="str">
        <f t="shared" si="134"/>
        <v/>
      </c>
      <c r="M295" s="329"/>
      <c r="N295" s="329"/>
      <c r="O295" s="329"/>
      <c r="P295" s="341"/>
      <c r="Q295" s="29"/>
    </row>
    <row r="296" spans="1:17">
      <c r="A296" s="336"/>
      <c r="B296" s="334"/>
      <c r="C296" s="24"/>
      <c r="D296" s="11"/>
      <c r="E296" s="11"/>
      <c r="F296" s="351"/>
      <c r="G296" s="43"/>
      <c r="H296" s="10"/>
      <c r="I296" s="10"/>
      <c r="J296" s="10"/>
      <c r="K296" s="52"/>
      <c r="L296" s="49" t="str">
        <f t="shared" si="134"/>
        <v/>
      </c>
      <c r="M296" s="329"/>
      <c r="N296" s="329"/>
      <c r="O296" s="329"/>
      <c r="P296" s="341"/>
      <c r="Q296" s="29"/>
    </row>
    <row r="297" spans="1:17">
      <c r="A297" s="336"/>
      <c r="B297" s="334"/>
      <c r="C297" s="24"/>
      <c r="D297" s="11"/>
      <c r="E297" s="11"/>
      <c r="F297" s="351"/>
      <c r="G297" s="43"/>
      <c r="H297" s="10"/>
      <c r="I297" s="10"/>
      <c r="J297" s="10"/>
      <c r="K297" s="52"/>
      <c r="L297" s="49" t="str">
        <f t="shared" si="134"/>
        <v/>
      </c>
      <c r="M297" s="329"/>
      <c r="N297" s="329"/>
      <c r="O297" s="329"/>
      <c r="P297" s="341"/>
      <c r="Q297" s="29"/>
    </row>
    <row r="298" spans="1:17" ht="15" thickBot="1">
      <c r="A298" s="337"/>
      <c r="B298" s="327"/>
      <c r="C298" s="30"/>
      <c r="D298" s="26"/>
      <c r="E298" s="26"/>
      <c r="F298" s="352"/>
      <c r="G298" s="44"/>
      <c r="H298" s="46"/>
      <c r="I298" s="46"/>
      <c r="J298" s="46"/>
      <c r="K298" s="47"/>
      <c r="L298" s="50" t="str">
        <f>IFERROR(AVERAGE(G298:K298)/60,"")</f>
        <v/>
      </c>
      <c r="M298" s="330"/>
      <c r="N298" s="330"/>
      <c r="O298" s="330"/>
      <c r="P298" s="342"/>
      <c r="Q298" s="31"/>
    </row>
    <row r="299" spans="1:17">
      <c r="A299" s="335"/>
      <c r="B299" s="326"/>
      <c r="C299" s="27"/>
      <c r="D299" s="25"/>
      <c r="E299" s="25"/>
      <c r="F299" s="350">
        <f t="shared" ref="F299" si="135">SUM(E299:E304)</f>
        <v>0</v>
      </c>
      <c r="G299" s="42"/>
      <c r="H299" s="45"/>
      <c r="I299" s="45"/>
      <c r="J299" s="45"/>
      <c r="K299" s="51"/>
      <c r="L299" s="48" t="str">
        <f>IFERROR(AVERAGE(G299:K299)/60,"")</f>
        <v/>
      </c>
      <c r="M299" s="328">
        <f>SUM(L299:L304)</f>
        <v>0</v>
      </c>
      <c r="N299" s="328">
        <f>IFERROR(M299*1.1,"")</f>
        <v>0</v>
      </c>
      <c r="O299" s="328" t="str">
        <f>IFERROR(60/N299,"")</f>
        <v/>
      </c>
      <c r="P299" s="340" t="str">
        <f t="shared" ref="P299" si="136">IFERROR(SUM(E299:E304)*O299/60,"")</f>
        <v/>
      </c>
      <c r="Q299" s="28"/>
    </row>
    <row r="300" spans="1:17">
      <c r="A300" s="336"/>
      <c r="B300" s="334"/>
      <c r="C300" s="24"/>
      <c r="D300" s="11"/>
      <c r="E300" s="11"/>
      <c r="F300" s="351"/>
      <c r="G300" s="43"/>
      <c r="H300" s="10"/>
      <c r="I300" s="10"/>
      <c r="J300" s="10"/>
      <c r="K300" s="52"/>
      <c r="L300" s="49" t="str">
        <f t="shared" ref="L300:L303" si="137">IFERROR(AVERAGE(G300:K300)/60,"")</f>
        <v/>
      </c>
      <c r="M300" s="329"/>
      <c r="N300" s="329"/>
      <c r="O300" s="329"/>
      <c r="P300" s="341"/>
      <c r="Q300" s="29"/>
    </row>
    <row r="301" spans="1:17">
      <c r="A301" s="336"/>
      <c r="B301" s="334"/>
      <c r="C301" s="24"/>
      <c r="D301" s="11"/>
      <c r="E301" s="11"/>
      <c r="F301" s="351"/>
      <c r="G301" s="43"/>
      <c r="H301" s="10"/>
      <c r="I301" s="10"/>
      <c r="J301" s="10"/>
      <c r="K301" s="52"/>
      <c r="L301" s="49" t="str">
        <f t="shared" si="137"/>
        <v/>
      </c>
      <c r="M301" s="329"/>
      <c r="N301" s="329"/>
      <c r="O301" s="329"/>
      <c r="P301" s="341"/>
      <c r="Q301" s="29"/>
    </row>
    <row r="302" spans="1:17">
      <c r="A302" s="336"/>
      <c r="B302" s="334"/>
      <c r="C302" s="24"/>
      <c r="D302" s="11"/>
      <c r="E302" s="11"/>
      <c r="F302" s="351"/>
      <c r="G302" s="43"/>
      <c r="H302" s="10"/>
      <c r="I302" s="10"/>
      <c r="J302" s="10"/>
      <c r="K302" s="52"/>
      <c r="L302" s="49" t="str">
        <f t="shared" si="137"/>
        <v/>
      </c>
      <c r="M302" s="329"/>
      <c r="N302" s="329"/>
      <c r="O302" s="329"/>
      <c r="P302" s="341"/>
      <c r="Q302" s="29"/>
    </row>
    <row r="303" spans="1:17">
      <c r="A303" s="336"/>
      <c r="B303" s="334"/>
      <c r="C303" s="24"/>
      <c r="D303" s="11"/>
      <c r="E303" s="11"/>
      <c r="F303" s="351"/>
      <c r="G303" s="43"/>
      <c r="H303" s="10"/>
      <c r="I303" s="10"/>
      <c r="J303" s="10"/>
      <c r="K303" s="52"/>
      <c r="L303" s="49" t="str">
        <f t="shared" si="137"/>
        <v/>
      </c>
      <c r="M303" s="329"/>
      <c r="N303" s="329"/>
      <c r="O303" s="329"/>
      <c r="P303" s="341"/>
      <c r="Q303" s="29"/>
    </row>
    <row r="304" spans="1:17" ht="15" thickBot="1">
      <c r="A304" s="337"/>
      <c r="B304" s="327"/>
      <c r="C304" s="30"/>
      <c r="D304" s="26"/>
      <c r="E304" s="26"/>
      <c r="F304" s="352"/>
      <c r="G304" s="44"/>
      <c r="H304" s="46"/>
      <c r="I304" s="46"/>
      <c r="J304" s="46"/>
      <c r="K304" s="47"/>
      <c r="L304" s="50" t="str">
        <f>IFERROR(AVERAGE(G304:K304)/60,"")</f>
        <v/>
      </c>
      <c r="M304" s="330"/>
      <c r="N304" s="330"/>
      <c r="O304" s="330"/>
      <c r="P304" s="342"/>
      <c r="Q304" s="31"/>
    </row>
    <row r="305" spans="1:17">
      <c r="A305" s="335"/>
      <c r="B305" s="326"/>
      <c r="C305" s="27"/>
      <c r="D305" s="25"/>
      <c r="E305" s="25"/>
      <c r="F305" s="350">
        <f t="shared" ref="F305" si="138">SUM(E305:E310)</f>
        <v>0</v>
      </c>
      <c r="G305" s="42"/>
      <c r="H305" s="45"/>
      <c r="I305" s="45"/>
      <c r="J305" s="45"/>
      <c r="K305" s="51"/>
      <c r="L305" s="48" t="str">
        <f>IFERROR(AVERAGE(G305:K305)/60,"")</f>
        <v/>
      </c>
      <c r="M305" s="328">
        <f>SUM(L305:L310)</f>
        <v>0</v>
      </c>
      <c r="N305" s="328">
        <f>IFERROR(M305*1.1,"")</f>
        <v>0</v>
      </c>
      <c r="O305" s="328" t="str">
        <f>IFERROR(60/N305,"")</f>
        <v/>
      </c>
      <c r="P305" s="340" t="str">
        <f>IFERROR(SUM(E305:E310)*O305/60,"")</f>
        <v/>
      </c>
      <c r="Q305" s="28"/>
    </row>
    <row r="306" spans="1:17">
      <c r="A306" s="336"/>
      <c r="B306" s="334"/>
      <c r="C306" s="24"/>
      <c r="D306" s="11"/>
      <c r="E306" s="11"/>
      <c r="F306" s="351"/>
      <c r="G306" s="43"/>
      <c r="H306" s="10"/>
      <c r="I306" s="10"/>
      <c r="J306" s="10"/>
      <c r="K306" s="52"/>
      <c r="L306" s="49" t="str">
        <f t="shared" ref="L306:L309" si="139">IFERROR(AVERAGE(G306:K306)/60,"")</f>
        <v/>
      </c>
      <c r="M306" s="329"/>
      <c r="N306" s="329"/>
      <c r="O306" s="329"/>
      <c r="P306" s="341"/>
      <c r="Q306" s="29"/>
    </row>
    <row r="307" spans="1:17">
      <c r="A307" s="336"/>
      <c r="B307" s="334"/>
      <c r="C307" s="24"/>
      <c r="D307" s="11"/>
      <c r="E307" s="11"/>
      <c r="F307" s="351"/>
      <c r="G307" s="43"/>
      <c r="H307" s="10"/>
      <c r="I307" s="10"/>
      <c r="J307" s="10"/>
      <c r="K307" s="52"/>
      <c r="L307" s="49" t="str">
        <f t="shared" si="139"/>
        <v/>
      </c>
      <c r="M307" s="329"/>
      <c r="N307" s="329"/>
      <c r="O307" s="329"/>
      <c r="P307" s="341"/>
      <c r="Q307" s="29"/>
    </row>
    <row r="308" spans="1:17">
      <c r="A308" s="336"/>
      <c r="B308" s="334"/>
      <c r="C308" s="24"/>
      <c r="D308" s="11"/>
      <c r="E308" s="11"/>
      <c r="F308" s="351"/>
      <c r="G308" s="43"/>
      <c r="H308" s="10"/>
      <c r="I308" s="10"/>
      <c r="J308" s="10"/>
      <c r="K308" s="52"/>
      <c r="L308" s="49" t="str">
        <f t="shared" si="139"/>
        <v/>
      </c>
      <c r="M308" s="329"/>
      <c r="N308" s="329"/>
      <c r="O308" s="329"/>
      <c r="P308" s="341"/>
      <c r="Q308" s="29"/>
    </row>
    <row r="309" spans="1:17">
      <c r="A309" s="336"/>
      <c r="B309" s="334"/>
      <c r="C309" s="24"/>
      <c r="D309" s="11"/>
      <c r="E309" s="11"/>
      <c r="F309" s="351"/>
      <c r="G309" s="43"/>
      <c r="H309" s="10"/>
      <c r="I309" s="10"/>
      <c r="J309" s="10"/>
      <c r="K309" s="52"/>
      <c r="L309" s="49" t="str">
        <f t="shared" si="139"/>
        <v/>
      </c>
      <c r="M309" s="329"/>
      <c r="N309" s="329"/>
      <c r="O309" s="329"/>
      <c r="P309" s="341"/>
      <c r="Q309" s="29"/>
    </row>
    <row r="310" spans="1:17" ht="15" thickBot="1">
      <c r="A310" s="337"/>
      <c r="B310" s="327"/>
      <c r="C310" s="30"/>
      <c r="D310" s="26"/>
      <c r="E310" s="26"/>
      <c r="F310" s="352"/>
      <c r="G310" s="44"/>
      <c r="H310" s="46"/>
      <c r="I310" s="46"/>
      <c r="J310" s="46"/>
      <c r="K310" s="47"/>
      <c r="L310" s="50" t="str">
        <f>IFERROR(AVERAGE(G310:K310)/60,"")</f>
        <v/>
      </c>
      <c r="M310" s="330"/>
      <c r="N310" s="330"/>
      <c r="O310" s="330"/>
      <c r="P310" s="342"/>
      <c r="Q310" s="31"/>
    </row>
    <row r="311" spans="1:17">
      <c r="A311" s="335"/>
      <c r="B311" s="326"/>
      <c r="C311" s="27"/>
      <c r="D311" s="25"/>
      <c r="E311" s="25"/>
      <c r="F311" s="350">
        <f t="shared" ref="F311" si="140">SUM(E311:E316)</f>
        <v>0</v>
      </c>
      <c r="G311" s="42"/>
      <c r="H311" s="45"/>
      <c r="I311" s="45"/>
      <c r="J311" s="45"/>
      <c r="K311" s="51"/>
      <c r="L311" s="48" t="str">
        <f>IFERROR(AVERAGE(G311:K311)/60,"")</f>
        <v/>
      </c>
      <c r="M311" s="328">
        <f>SUM(L311:L316)</f>
        <v>0</v>
      </c>
      <c r="N311" s="328">
        <f>IFERROR(M311*1.1,"")</f>
        <v>0</v>
      </c>
      <c r="O311" s="328" t="str">
        <f>IFERROR(60/N311,"")</f>
        <v/>
      </c>
      <c r="P311" s="340" t="str">
        <f t="shared" ref="P311" si="141">IFERROR(SUM(E311:E316)*O311/60,"")</f>
        <v/>
      </c>
      <c r="Q311" s="28"/>
    </row>
    <row r="312" spans="1:17">
      <c r="A312" s="336"/>
      <c r="B312" s="334"/>
      <c r="C312" s="24"/>
      <c r="D312" s="11"/>
      <c r="E312" s="11"/>
      <c r="F312" s="351"/>
      <c r="G312" s="43"/>
      <c r="H312" s="10"/>
      <c r="I312" s="10"/>
      <c r="J312" s="10"/>
      <c r="K312" s="52"/>
      <c r="L312" s="49" t="str">
        <f t="shared" ref="L312:L315" si="142">IFERROR(AVERAGE(G312:K312)/60,"")</f>
        <v/>
      </c>
      <c r="M312" s="329"/>
      <c r="N312" s="329"/>
      <c r="O312" s="329"/>
      <c r="P312" s="341"/>
      <c r="Q312" s="29"/>
    </row>
    <row r="313" spans="1:17">
      <c r="A313" s="336"/>
      <c r="B313" s="334"/>
      <c r="C313" s="24"/>
      <c r="D313" s="11"/>
      <c r="E313" s="11"/>
      <c r="F313" s="351"/>
      <c r="G313" s="43"/>
      <c r="H313" s="10"/>
      <c r="I313" s="10"/>
      <c r="J313" s="10"/>
      <c r="K313" s="52"/>
      <c r="L313" s="49" t="str">
        <f t="shared" si="142"/>
        <v/>
      </c>
      <c r="M313" s="329"/>
      <c r="N313" s="329"/>
      <c r="O313" s="329"/>
      <c r="P313" s="341"/>
      <c r="Q313" s="29"/>
    </row>
    <row r="314" spans="1:17">
      <c r="A314" s="336"/>
      <c r="B314" s="334"/>
      <c r="C314" s="24"/>
      <c r="D314" s="11"/>
      <c r="E314" s="11"/>
      <c r="F314" s="351"/>
      <c r="G314" s="43"/>
      <c r="H314" s="10"/>
      <c r="I314" s="10"/>
      <c r="J314" s="10"/>
      <c r="K314" s="52"/>
      <c r="L314" s="49" t="str">
        <f t="shared" si="142"/>
        <v/>
      </c>
      <c r="M314" s="329"/>
      <c r="N314" s="329"/>
      <c r="O314" s="329"/>
      <c r="P314" s="341"/>
      <c r="Q314" s="29"/>
    </row>
    <row r="315" spans="1:17">
      <c r="A315" s="336"/>
      <c r="B315" s="334"/>
      <c r="C315" s="24"/>
      <c r="D315" s="11"/>
      <c r="E315" s="11"/>
      <c r="F315" s="351"/>
      <c r="G315" s="43"/>
      <c r="H315" s="10"/>
      <c r="I315" s="10"/>
      <c r="J315" s="10"/>
      <c r="K315" s="52"/>
      <c r="L315" s="49" t="str">
        <f t="shared" si="142"/>
        <v/>
      </c>
      <c r="M315" s="329"/>
      <c r="N315" s="329"/>
      <c r="O315" s="329"/>
      <c r="P315" s="341"/>
      <c r="Q315" s="29"/>
    </row>
    <row r="316" spans="1:17" ht="15" thickBot="1">
      <c r="A316" s="337"/>
      <c r="B316" s="327"/>
      <c r="C316" s="30"/>
      <c r="D316" s="26"/>
      <c r="E316" s="26"/>
      <c r="F316" s="352"/>
      <c r="G316" s="44"/>
      <c r="H316" s="46"/>
      <c r="I316" s="46"/>
      <c r="J316" s="46"/>
      <c r="K316" s="47"/>
      <c r="L316" s="50" t="str">
        <f>IFERROR(AVERAGE(G316:K316)/60,"")</f>
        <v/>
      </c>
      <c r="M316" s="330"/>
      <c r="N316" s="330"/>
      <c r="O316" s="330"/>
      <c r="P316" s="342"/>
      <c r="Q316" s="31"/>
    </row>
    <row r="317" spans="1:17">
      <c r="A317" s="335"/>
      <c r="B317" s="326"/>
      <c r="C317" s="27"/>
      <c r="D317" s="25"/>
      <c r="E317" s="25"/>
      <c r="F317" s="350">
        <f t="shared" ref="F317" si="143">SUM(E317:E322)</f>
        <v>0</v>
      </c>
      <c r="G317" s="42"/>
      <c r="H317" s="45"/>
      <c r="I317" s="45"/>
      <c r="J317" s="45"/>
      <c r="K317" s="51"/>
      <c r="L317" s="48" t="str">
        <f>IFERROR(AVERAGE(G317:K317)/60,"")</f>
        <v/>
      </c>
      <c r="M317" s="328">
        <f>SUM(L317:L322)</f>
        <v>0</v>
      </c>
      <c r="N317" s="328">
        <f>IFERROR(M317*1.1,"")</f>
        <v>0</v>
      </c>
      <c r="O317" s="328" t="str">
        <f>IFERROR(60/N317,"")</f>
        <v/>
      </c>
      <c r="P317" s="340" t="str">
        <f t="shared" ref="P317" si="144">IFERROR(SUM(E317:E322)*O317/60,"")</f>
        <v/>
      </c>
      <c r="Q317" s="28"/>
    </row>
    <row r="318" spans="1:17">
      <c r="A318" s="336"/>
      <c r="B318" s="334"/>
      <c r="C318" s="24"/>
      <c r="D318" s="11"/>
      <c r="E318" s="11"/>
      <c r="F318" s="351"/>
      <c r="G318" s="43"/>
      <c r="H318" s="10"/>
      <c r="I318" s="10"/>
      <c r="J318" s="10"/>
      <c r="K318" s="52"/>
      <c r="L318" s="49" t="str">
        <f t="shared" ref="L318:L321" si="145">IFERROR(AVERAGE(G318:K318)/60,"")</f>
        <v/>
      </c>
      <c r="M318" s="329"/>
      <c r="N318" s="329"/>
      <c r="O318" s="329"/>
      <c r="P318" s="341"/>
      <c r="Q318" s="29"/>
    </row>
    <row r="319" spans="1:17">
      <c r="A319" s="336"/>
      <c r="B319" s="334"/>
      <c r="C319" s="24"/>
      <c r="D319" s="11"/>
      <c r="E319" s="11"/>
      <c r="F319" s="351"/>
      <c r="G319" s="43"/>
      <c r="H319" s="10"/>
      <c r="I319" s="10"/>
      <c r="J319" s="10"/>
      <c r="K319" s="52"/>
      <c r="L319" s="49" t="str">
        <f t="shared" si="145"/>
        <v/>
      </c>
      <c r="M319" s="329"/>
      <c r="N319" s="329"/>
      <c r="O319" s="329"/>
      <c r="P319" s="341"/>
      <c r="Q319" s="29"/>
    </row>
    <row r="320" spans="1:17">
      <c r="A320" s="336"/>
      <c r="B320" s="334"/>
      <c r="C320" s="24"/>
      <c r="D320" s="11"/>
      <c r="E320" s="11"/>
      <c r="F320" s="351"/>
      <c r="G320" s="43"/>
      <c r="H320" s="10"/>
      <c r="I320" s="10"/>
      <c r="J320" s="10"/>
      <c r="K320" s="52"/>
      <c r="L320" s="49" t="str">
        <f t="shared" si="145"/>
        <v/>
      </c>
      <c r="M320" s="329"/>
      <c r="N320" s="329"/>
      <c r="O320" s="329"/>
      <c r="P320" s="341"/>
      <c r="Q320" s="29"/>
    </row>
    <row r="321" spans="1:17">
      <c r="A321" s="336"/>
      <c r="B321" s="334"/>
      <c r="C321" s="24"/>
      <c r="D321" s="11"/>
      <c r="E321" s="11"/>
      <c r="F321" s="351"/>
      <c r="G321" s="43"/>
      <c r="H321" s="10"/>
      <c r="I321" s="10"/>
      <c r="J321" s="10"/>
      <c r="K321" s="52"/>
      <c r="L321" s="49" t="str">
        <f t="shared" si="145"/>
        <v/>
      </c>
      <c r="M321" s="329"/>
      <c r="N321" s="329"/>
      <c r="O321" s="329"/>
      <c r="P321" s="341"/>
      <c r="Q321" s="29"/>
    </row>
    <row r="322" spans="1:17" ht="15" thickBot="1">
      <c r="A322" s="337"/>
      <c r="B322" s="327"/>
      <c r="C322" s="30"/>
      <c r="D322" s="26"/>
      <c r="E322" s="26"/>
      <c r="F322" s="352"/>
      <c r="G322" s="44"/>
      <c r="H322" s="46"/>
      <c r="I322" s="46"/>
      <c r="J322" s="46"/>
      <c r="K322" s="47"/>
      <c r="L322" s="50" t="str">
        <f>IFERROR(AVERAGE(G322:K322)/60,"")</f>
        <v/>
      </c>
      <c r="M322" s="330"/>
      <c r="N322" s="330"/>
      <c r="O322" s="330"/>
      <c r="P322" s="342"/>
      <c r="Q322" s="31"/>
    </row>
    <row r="323" spans="1:17">
      <c r="A323" s="335"/>
      <c r="B323" s="326"/>
      <c r="C323" s="27"/>
      <c r="D323" s="25"/>
      <c r="E323" s="25"/>
      <c r="F323" s="350">
        <f t="shared" ref="F323" si="146">SUM(E323:E328)</f>
        <v>0</v>
      </c>
      <c r="G323" s="42"/>
      <c r="H323" s="45"/>
      <c r="I323" s="45"/>
      <c r="J323" s="45"/>
      <c r="K323" s="51"/>
      <c r="L323" s="48" t="str">
        <f>IFERROR(AVERAGE(G323:K323)/60,"")</f>
        <v/>
      </c>
      <c r="M323" s="328">
        <f>SUM(L323:L328)</f>
        <v>0</v>
      </c>
      <c r="N323" s="328">
        <f>IFERROR(M323*1.1,"")</f>
        <v>0</v>
      </c>
      <c r="O323" s="328" t="str">
        <f>IFERROR(60/N323,"")</f>
        <v/>
      </c>
      <c r="P323" s="340" t="str">
        <f t="shared" ref="P323" si="147">IFERROR(SUM(E323:E328)*O323/60,"")</f>
        <v/>
      </c>
      <c r="Q323" s="28"/>
    </row>
    <row r="324" spans="1:17">
      <c r="A324" s="336"/>
      <c r="B324" s="334"/>
      <c r="C324" s="24"/>
      <c r="D324" s="11"/>
      <c r="E324" s="11"/>
      <c r="F324" s="351"/>
      <c r="G324" s="43"/>
      <c r="H324" s="10"/>
      <c r="I324" s="10"/>
      <c r="J324" s="10"/>
      <c r="K324" s="52"/>
      <c r="L324" s="49" t="str">
        <f t="shared" ref="L324:L327" si="148">IFERROR(AVERAGE(G324:K324)/60,"")</f>
        <v/>
      </c>
      <c r="M324" s="329"/>
      <c r="N324" s="329"/>
      <c r="O324" s="329"/>
      <c r="P324" s="341"/>
      <c r="Q324" s="29"/>
    </row>
    <row r="325" spans="1:17">
      <c r="A325" s="336"/>
      <c r="B325" s="334"/>
      <c r="C325" s="24"/>
      <c r="D325" s="11"/>
      <c r="E325" s="11"/>
      <c r="F325" s="351"/>
      <c r="G325" s="43"/>
      <c r="H325" s="10"/>
      <c r="I325" s="10"/>
      <c r="J325" s="10"/>
      <c r="K325" s="52"/>
      <c r="L325" s="49" t="str">
        <f t="shared" si="148"/>
        <v/>
      </c>
      <c r="M325" s="329"/>
      <c r="N325" s="329"/>
      <c r="O325" s="329"/>
      <c r="P325" s="341"/>
      <c r="Q325" s="29"/>
    </row>
    <row r="326" spans="1:17">
      <c r="A326" s="336"/>
      <c r="B326" s="334"/>
      <c r="C326" s="24"/>
      <c r="D326" s="11"/>
      <c r="E326" s="11"/>
      <c r="F326" s="351"/>
      <c r="G326" s="43"/>
      <c r="H326" s="10"/>
      <c r="I326" s="10"/>
      <c r="J326" s="10"/>
      <c r="K326" s="52"/>
      <c r="L326" s="49" t="str">
        <f t="shared" si="148"/>
        <v/>
      </c>
      <c r="M326" s="329"/>
      <c r="N326" s="329"/>
      <c r="O326" s="329"/>
      <c r="P326" s="341"/>
      <c r="Q326" s="29"/>
    </row>
    <row r="327" spans="1:17">
      <c r="A327" s="336"/>
      <c r="B327" s="334"/>
      <c r="C327" s="24"/>
      <c r="D327" s="11"/>
      <c r="E327" s="11"/>
      <c r="F327" s="351"/>
      <c r="G327" s="43"/>
      <c r="H327" s="10"/>
      <c r="I327" s="10"/>
      <c r="J327" s="10"/>
      <c r="K327" s="52"/>
      <c r="L327" s="49" t="str">
        <f t="shared" si="148"/>
        <v/>
      </c>
      <c r="M327" s="329"/>
      <c r="N327" s="329"/>
      <c r="O327" s="329"/>
      <c r="P327" s="341"/>
      <c r="Q327" s="29"/>
    </row>
    <row r="328" spans="1:17" ht="15" thickBot="1">
      <c r="A328" s="337"/>
      <c r="B328" s="327"/>
      <c r="C328" s="30"/>
      <c r="D328" s="26"/>
      <c r="E328" s="26"/>
      <c r="F328" s="352"/>
      <c r="G328" s="44"/>
      <c r="H328" s="46"/>
      <c r="I328" s="46"/>
      <c r="J328" s="46"/>
      <c r="K328" s="47"/>
      <c r="L328" s="50" t="str">
        <f>IFERROR(AVERAGE(G328:K328)/60,"")</f>
        <v/>
      </c>
      <c r="M328" s="330"/>
      <c r="N328" s="330"/>
      <c r="O328" s="330"/>
      <c r="P328" s="342"/>
      <c r="Q328" s="31"/>
    </row>
    <row r="329" spans="1:17">
      <c r="A329" s="335"/>
      <c r="B329" s="326"/>
      <c r="C329" s="27"/>
      <c r="D329" s="25"/>
      <c r="E329" s="25"/>
      <c r="F329" s="350">
        <f t="shared" ref="F329" si="149">SUM(E329:E334)</f>
        <v>0</v>
      </c>
      <c r="G329" s="42"/>
      <c r="H329" s="45"/>
      <c r="I329" s="45"/>
      <c r="J329" s="45"/>
      <c r="K329" s="51"/>
      <c r="L329" s="48" t="str">
        <f>IFERROR(AVERAGE(G329:K329)/60,"")</f>
        <v/>
      </c>
      <c r="M329" s="328">
        <f>SUM(L329:L334)</f>
        <v>0</v>
      </c>
      <c r="N329" s="328">
        <f>IFERROR(M329*1.1,"")</f>
        <v>0</v>
      </c>
      <c r="O329" s="328" t="str">
        <f>IFERROR(60/N329,"")</f>
        <v/>
      </c>
      <c r="P329" s="340" t="str">
        <f t="shared" ref="P329" si="150">IFERROR(SUM(E329:E334)*O329/60,"")</f>
        <v/>
      </c>
      <c r="Q329" s="28"/>
    </row>
    <row r="330" spans="1:17">
      <c r="A330" s="336"/>
      <c r="B330" s="334"/>
      <c r="C330" s="24"/>
      <c r="D330" s="11"/>
      <c r="E330" s="11"/>
      <c r="F330" s="351"/>
      <c r="G330" s="43"/>
      <c r="H330" s="10"/>
      <c r="I330" s="10"/>
      <c r="J330" s="10"/>
      <c r="K330" s="52"/>
      <c r="L330" s="49" t="str">
        <f t="shared" ref="L330:L333" si="151">IFERROR(AVERAGE(G330:K330)/60,"")</f>
        <v/>
      </c>
      <c r="M330" s="329"/>
      <c r="N330" s="329"/>
      <c r="O330" s="329"/>
      <c r="P330" s="341"/>
      <c r="Q330" s="29"/>
    </row>
    <row r="331" spans="1:17">
      <c r="A331" s="336"/>
      <c r="B331" s="334"/>
      <c r="C331" s="24"/>
      <c r="D331" s="11"/>
      <c r="E331" s="11"/>
      <c r="F331" s="351"/>
      <c r="G331" s="43"/>
      <c r="H331" s="10"/>
      <c r="I331" s="10"/>
      <c r="J331" s="10"/>
      <c r="K331" s="52"/>
      <c r="L331" s="49" t="str">
        <f t="shared" si="151"/>
        <v/>
      </c>
      <c r="M331" s="329"/>
      <c r="N331" s="329"/>
      <c r="O331" s="329"/>
      <c r="P331" s="341"/>
      <c r="Q331" s="29"/>
    </row>
    <row r="332" spans="1:17">
      <c r="A332" s="336"/>
      <c r="B332" s="334"/>
      <c r="C332" s="24"/>
      <c r="D332" s="11"/>
      <c r="E332" s="11"/>
      <c r="F332" s="351"/>
      <c r="G332" s="43"/>
      <c r="H332" s="10"/>
      <c r="I332" s="10"/>
      <c r="J332" s="10"/>
      <c r="K332" s="52"/>
      <c r="L332" s="49" t="str">
        <f t="shared" si="151"/>
        <v/>
      </c>
      <c r="M332" s="329"/>
      <c r="N332" s="329"/>
      <c r="O332" s="329"/>
      <c r="P332" s="341"/>
      <c r="Q332" s="29"/>
    </row>
    <row r="333" spans="1:17">
      <c r="A333" s="336"/>
      <c r="B333" s="334"/>
      <c r="C333" s="24"/>
      <c r="D333" s="11"/>
      <c r="E333" s="11"/>
      <c r="F333" s="351"/>
      <c r="G333" s="43"/>
      <c r="H333" s="10"/>
      <c r="I333" s="10"/>
      <c r="J333" s="10"/>
      <c r="K333" s="52"/>
      <c r="L333" s="49" t="str">
        <f t="shared" si="151"/>
        <v/>
      </c>
      <c r="M333" s="329"/>
      <c r="N333" s="329"/>
      <c r="O333" s="329"/>
      <c r="P333" s="341"/>
      <c r="Q333" s="29"/>
    </row>
    <row r="334" spans="1:17" ht="15" thickBot="1">
      <c r="A334" s="337"/>
      <c r="B334" s="327"/>
      <c r="C334" s="30"/>
      <c r="D334" s="26"/>
      <c r="E334" s="26"/>
      <c r="F334" s="352"/>
      <c r="G334" s="44"/>
      <c r="H334" s="46"/>
      <c r="I334" s="46"/>
      <c r="J334" s="46"/>
      <c r="K334" s="47"/>
      <c r="L334" s="50" t="str">
        <f>IFERROR(AVERAGE(G334:K334)/60,"")</f>
        <v/>
      </c>
      <c r="M334" s="330"/>
      <c r="N334" s="330"/>
      <c r="O334" s="330"/>
      <c r="P334" s="342"/>
      <c r="Q334" s="31"/>
    </row>
    <row r="335" spans="1:17">
      <c r="A335" s="335"/>
      <c r="B335" s="326"/>
      <c r="C335" s="27"/>
      <c r="D335" s="25"/>
      <c r="E335" s="25"/>
      <c r="F335" s="350">
        <f t="shared" ref="F335" si="152">SUM(E335:E340)</f>
        <v>0</v>
      </c>
      <c r="G335" s="42"/>
      <c r="H335" s="45"/>
      <c r="I335" s="45"/>
      <c r="J335" s="45"/>
      <c r="K335" s="51"/>
      <c r="L335" s="48" t="str">
        <f>IFERROR(AVERAGE(G335:K335)/60,"")</f>
        <v/>
      </c>
      <c r="M335" s="328">
        <f>SUM(L335:L340)</f>
        <v>0</v>
      </c>
      <c r="N335" s="328">
        <f>IFERROR(M335*1.1,"")</f>
        <v>0</v>
      </c>
      <c r="O335" s="328" t="str">
        <f>IFERROR(60/N335,"")</f>
        <v/>
      </c>
      <c r="P335" s="340" t="str">
        <f>IFERROR(SUM(E335:E340)*O335/60,"")</f>
        <v/>
      </c>
      <c r="Q335" s="28"/>
    </row>
    <row r="336" spans="1:17">
      <c r="A336" s="336"/>
      <c r="B336" s="334"/>
      <c r="C336" s="24"/>
      <c r="D336" s="11"/>
      <c r="E336" s="11"/>
      <c r="F336" s="351"/>
      <c r="G336" s="43"/>
      <c r="H336" s="10"/>
      <c r="I336" s="10"/>
      <c r="J336" s="10"/>
      <c r="K336" s="52"/>
      <c r="L336" s="49" t="str">
        <f t="shared" ref="L336:L339" si="153">IFERROR(AVERAGE(G336:K336)/60,"")</f>
        <v/>
      </c>
      <c r="M336" s="329"/>
      <c r="N336" s="329"/>
      <c r="O336" s="329"/>
      <c r="P336" s="341"/>
      <c r="Q336" s="29"/>
    </row>
    <row r="337" spans="1:17">
      <c r="A337" s="336"/>
      <c r="B337" s="334"/>
      <c r="C337" s="24"/>
      <c r="D337" s="11"/>
      <c r="E337" s="11"/>
      <c r="F337" s="351"/>
      <c r="G337" s="43"/>
      <c r="H337" s="10"/>
      <c r="I337" s="10"/>
      <c r="J337" s="10"/>
      <c r="K337" s="52"/>
      <c r="L337" s="49" t="str">
        <f t="shared" si="153"/>
        <v/>
      </c>
      <c r="M337" s="329"/>
      <c r="N337" s="329"/>
      <c r="O337" s="329"/>
      <c r="P337" s="341"/>
      <c r="Q337" s="29"/>
    </row>
    <row r="338" spans="1:17">
      <c r="A338" s="336"/>
      <c r="B338" s="334"/>
      <c r="C338" s="24"/>
      <c r="D338" s="11"/>
      <c r="E338" s="11"/>
      <c r="F338" s="351"/>
      <c r="G338" s="43"/>
      <c r="H338" s="10"/>
      <c r="I338" s="10"/>
      <c r="J338" s="10"/>
      <c r="K338" s="52"/>
      <c r="L338" s="49" t="str">
        <f t="shared" si="153"/>
        <v/>
      </c>
      <c r="M338" s="329"/>
      <c r="N338" s="329"/>
      <c r="O338" s="329"/>
      <c r="P338" s="341"/>
      <c r="Q338" s="29"/>
    </row>
    <row r="339" spans="1:17">
      <c r="A339" s="336"/>
      <c r="B339" s="334"/>
      <c r="C339" s="24"/>
      <c r="D339" s="11"/>
      <c r="E339" s="11"/>
      <c r="F339" s="351"/>
      <c r="G339" s="43"/>
      <c r="H339" s="10"/>
      <c r="I339" s="10"/>
      <c r="J339" s="10"/>
      <c r="K339" s="52"/>
      <c r="L339" s="49" t="str">
        <f t="shared" si="153"/>
        <v/>
      </c>
      <c r="M339" s="329"/>
      <c r="N339" s="329"/>
      <c r="O339" s="329"/>
      <c r="P339" s="341"/>
      <c r="Q339" s="29"/>
    </row>
    <row r="340" spans="1:17" ht="15" thickBot="1">
      <c r="A340" s="337"/>
      <c r="B340" s="327"/>
      <c r="C340" s="30"/>
      <c r="D340" s="26"/>
      <c r="E340" s="26"/>
      <c r="F340" s="352"/>
      <c r="G340" s="44"/>
      <c r="H340" s="46"/>
      <c r="I340" s="46"/>
      <c r="J340" s="46"/>
      <c r="K340" s="47"/>
      <c r="L340" s="50" t="str">
        <f>IFERROR(AVERAGE(G340:K340)/60,"")</f>
        <v/>
      </c>
      <c r="M340" s="330"/>
      <c r="N340" s="330"/>
      <c r="O340" s="330"/>
      <c r="P340" s="342"/>
      <c r="Q340" s="31"/>
    </row>
    <row r="341" spans="1:17">
      <c r="A341" s="335"/>
      <c r="B341" s="326"/>
      <c r="C341" s="27"/>
      <c r="D341" s="25"/>
      <c r="E341" s="25"/>
      <c r="F341" s="350">
        <f t="shared" ref="F341" si="154">SUM(E341:E346)</f>
        <v>0</v>
      </c>
      <c r="G341" s="42"/>
      <c r="H341" s="45"/>
      <c r="I341" s="45"/>
      <c r="J341" s="45"/>
      <c r="K341" s="51"/>
      <c r="L341" s="48" t="str">
        <f>IFERROR(AVERAGE(G341:K341)/60,"")</f>
        <v/>
      </c>
      <c r="M341" s="328">
        <f>SUM(L341:L346)</f>
        <v>0</v>
      </c>
      <c r="N341" s="328">
        <f>IFERROR(M341*1.1,"")</f>
        <v>0</v>
      </c>
      <c r="O341" s="328" t="str">
        <f>IFERROR(60/N341,"")</f>
        <v/>
      </c>
      <c r="P341" s="340" t="str">
        <f t="shared" ref="P341" si="155">IFERROR(SUM(E341:E346)*O341/60,"")</f>
        <v/>
      </c>
      <c r="Q341" s="28"/>
    </row>
    <row r="342" spans="1:17">
      <c r="A342" s="336"/>
      <c r="B342" s="334"/>
      <c r="C342" s="24"/>
      <c r="D342" s="11"/>
      <c r="E342" s="11"/>
      <c r="F342" s="351"/>
      <c r="G342" s="43"/>
      <c r="H342" s="10"/>
      <c r="I342" s="10"/>
      <c r="J342" s="10"/>
      <c r="K342" s="52"/>
      <c r="L342" s="49" t="str">
        <f t="shared" ref="L342:L345" si="156">IFERROR(AVERAGE(G342:K342)/60,"")</f>
        <v/>
      </c>
      <c r="M342" s="329"/>
      <c r="N342" s="329"/>
      <c r="O342" s="329"/>
      <c r="P342" s="341"/>
      <c r="Q342" s="29"/>
    </row>
    <row r="343" spans="1:17">
      <c r="A343" s="336"/>
      <c r="B343" s="334"/>
      <c r="C343" s="24"/>
      <c r="D343" s="11"/>
      <c r="E343" s="11"/>
      <c r="F343" s="351"/>
      <c r="G343" s="43"/>
      <c r="H343" s="10"/>
      <c r="I343" s="10"/>
      <c r="J343" s="10"/>
      <c r="K343" s="52"/>
      <c r="L343" s="49" t="str">
        <f t="shared" si="156"/>
        <v/>
      </c>
      <c r="M343" s="329"/>
      <c r="N343" s="329"/>
      <c r="O343" s="329"/>
      <c r="P343" s="341"/>
      <c r="Q343" s="29"/>
    </row>
    <row r="344" spans="1:17">
      <c r="A344" s="336"/>
      <c r="B344" s="334"/>
      <c r="C344" s="24"/>
      <c r="D344" s="11"/>
      <c r="E344" s="11"/>
      <c r="F344" s="351"/>
      <c r="G344" s="43"/>
      <c r="H344" s="10"/>
      <c r="I344" s="10"/>
      <c r="J344" s="10"/>
      <c r="K344" s="52"/>
      <c r="L344" s="49" t="str">
        <f t="shared" si="156"/>
        <v/>
      </c>
      <c r="M344" s="329"/>
      <c r="N344" s="329"/>
      <c r="O344" s="329"/>
      <c r="P344" s="341"/>
      <c r="Q344" s="29"/>
    </row>
    <row r="345" spans="1:17">
      <c r="A345" s="336"/>
      <c r="B345" s="334"/>
      <c r="C345" s="24"/>
      <c r="D345" s="11"/>
      <c r="E345" s="11"/>
      <c r="F345" s="351"/>
      <c r="G345" s="43"/>
      <c r="H345" s="10"/>
      <c r="I345" s="10"/>
      <c r="J345" s="10"/>
      <c r="K345" s="52"/>
      <c r="L345" s="49" t="str">
        <f t="shared" si="156"/>
        <v/>
      </c>
      <c r="M345" s="329"/>
      <c r="N345" s="329"/>
      <c r="O345" s="329"/>
      <c r="P345" s="341"/>
      <c r="Q345" s="29"/>
    </row>
    <row r="346" spans="1:17" ht="15" thickBot="1">
      <c r="A346" s="337"/>
      <c r="B346" s="327"/>
      <c r="C346" s="30"/>
      <c r="D346" s="26"/>
      <c r="E346" s="26"/>
      <c r="F346" s="352"/>
      <c r="G346" s="44"/>
      <c r="H346" s="46"/>
      <c r="I346" s="46"/>
      <c r="J346" s="46"/>
      <c r="K346" s="47"/>
      <c r="L346" s="50" t="str">
        <f>IFERROR(AVERAGE(G346:K346)/60,"")</f>
        <v/>
      </c>
      <c r="M346" s="330"/>
      <c r="N346" s="330"/>
      <c r="O346" s="330"/>
      <c r="P346" s="342"/>
      <c r="Q346" s="31"/>
    </row>
    <row r="347" spans="1:17">
      <c r="A347" s="335"/>
      <c r="B347" s="326"/>
      <c r="C347" s="27"/>
      <c r="D347" s="25"/>
      <c r="E347" s="25"/>
      <c r="F347" s="350">
        <f t="shared" ref="F347" si="157">SUM(E347:E352)</f>
        <v>0</v>
      </c>
      <c r="G347" s="42"/>
      <c r="H347" s="45"/>
      <c r="I347" s="45"/>
      <c r="J347" s="45"/>
      <c r="K347" s="51"/>
      <c r="L347" s="48" t="str">
        <f>IFERROR(AVERAGE(G347:K347)/60,"")</f>
        <v/>
      </c>
      <c r="M347" s="328">
        <f>SUM(L347:L352)</f>
        <v>0</v>
      </c>
      <c r="N347" s="328">
        <f>IFERROR(M347*1.1,"")</f>
        <v>0</v>
      </c>
      <c r="O347" s="328" t="str">
        <f>IFERROR(60/N347,"")</f>
        <v/>
      </c>
      <c r="P347" s="340" t="str">
        <f t="shared" ref="P347" si="158">IFERROR(SUM(E347:E352)*O347/60,"")</f>
        <v/>
      </c>
      <c r="Q347" s="28"/>
    </row>
    <row r="348" spans="1:17">
      <c r="A348" s="336"/>
      <c r="B348" s="334"/>
      <c r="C348" s="24"/>
      <c r="D348" s="11"/>
      <c r="E348" s="11"/>
      <c r="F348" s="351"/>
      <c r="G348" s="43"/>
      <c r="H348" s="10"/>
      <c r="I348" s="10"/>
      <c r="J348" s="10"/>
      <c r="K348" s="52"/>
      <c r="L348" s="49" t="str">
        <f t="shared" ref="L348:L351" si="159">IFERROR(AVERAGE(G348:K348)/60,"")</f>
        <v/>
      </c>
      <c r="M348" s="329"/>
      <c r="N348" s="329"/>
      <c r="O348" s="329"/>
      <c r="P348" s="341"/>
      <c r="Q348" s="29"/>
    </row>
    <row r="349" spans="1:17">
      <c r="A349" s="336"/>
      <c r="B349" s="334"/>
      <c r="C349" s="24"/>
      <c r="D349" s="11"/>
      <c r="E349" s="11"/>
      <c r="F349" s="351"/>
      <c r="G349" s="43"/>
      <c r="H349" s="10"/>
      <c r="I349" s="10"/>
      <c r="J349" s="10"/>
      <c r="K349" s="52"/>
      <c r="L349" s="49" t="str">
        <f t="shared" si="159"/>
        <v/>
      </c>
      <c r="M349" s="329"/>
      <c r="N349" s="329"/>
      <c r="O349" s="329"/>
      <c r="P349" s="341"/>
      <c r="Q349" s="29"/>
    </row>
    <row r="350" spans="1:17">
      <c r="A350" s="336"/>
      <c r="B350" s="334"/>
      <c r="C350" s="24"/>
      <c r="D350" s="11"/>
      <c r="E350" s="11"/>
      <c r="F350" s="351"/>
      <c r="G350" s="43"/>
      <c r="H350" s="10"/>
      <c r="I350" s="10"/>
      <c r="J350" s="10"/>
      <c r="K350" s="52"/>
      <c r="L350" s="49" t="str">
        <f t="shared" si="159"/>
        <v/>
      </c>
      <c r="M350" s="329"/>
      <c r="N350" s="329"/>
      <c r="O350" s="329"/>
      <c r="P350" s="341"/>
      <c r="Q350" s="29"/>
    </row>
    <row r="351" spans="1:17">
      <c r="A351" s="336"/>
      <c r="B351" s="334"/>
      <c r="C351" s="24"/>
      <c r="D351" s="11"/>
      <c r="E351" s="11"/>
      <c r="F351" s="351"/>
      <c r="G351" s="43"/>
      <c r="H351" s="10"/>
      <c r="I351" s="10"/>
      <c r="J351" s="10"/>
      <c r="K351" s="52"/>
      <c r="L351" s="49" t="str">
        <f t="shared" si="159"/>
        <v/>
      </c>
      <c r="M351" s="329"/>
      <c r="N351" s="329"/>
      <c r="O351" s="329"/>
      <c r="P351" s="341"/>
      <c r="Q351" s="29"/>
    </row>
    <row r="352" spans="1:17" ht="15" thickBot="1">
      <c r="A352" s="337"/>
      <c r="B352" s="327"/>
      <c r="C352" s="30"/>
      <c r="D352" s="26"/>
      <c r="E352" s="26"/>
      <c r="F352" s="352"/>
      <c r="G352" s="44"/>
      <c r="H352" s="46"/>
      <c r="I352" s="46"/>
      <c r="J352" s="46"/>
      <c r="K352" s="47"/>
      <c r="L352" s="50" t="str">
        <f>IFERROR(AVERAGE(G352:K352)/60,"")</f>
        <v/>
      </c>
      <c r="M352" s="330"/>
      <c r="N352" s="330"/>
      <c r="O352" s="330"/>
      <c r="P352" s="342"/>
      <c r="Q352" s="31"/>
    </row>
    <row r="353" spans="1:17">
      <c r="A353" s="335"/>
      <c r="B353" s="326"/>
      <c r="C353" s="27"/>
      <c r="D353" s="25"/>
      <c r="E353" s="25"/>
      <c r="F353" s="350">
        <f t="shared" ref="F353" si="160">SUM(E353:E358)</f>
        <v>0</v>
      </c>
      <c r="G353" s="42"/>
      <c r="H353" s="45"/>
      <c r="I353" s="45"/>
      <c r="J353" s="45"/>
      <c r="K353" s="51"/>
      <c r="L353" s="48" t="str">
        <f>IFERROR(AVERAGE(G353:K353)/60,"")</f>
        <v/>
      </c>
      <c r="M353" s="328">
        <f>SUM(L353:L358)</f>
        <v>0</v>
      </c>
      <c r="N353" s="328">
        <f>IFERROR(M353*1.1,"")</f>
        <v>0</v>
      </c>
      <c r="O353" s="328" t="str">
        <f>IFERROR(60/N353,"")</f>
        <v/>
      </c>
      <c r="P353" s="340" t="str">
        <f t="shared" ref="P353" si="161">IFERROR(SUM(E353:E358)*O353/60,"")</f>
        <v/>
      </c>
      <c r="Q353" s="28"/>
    </row>
    <row r="354" spans="1:17">
      <c r="A354" s="336"/>
      <c r="B354" s="334"/>
      <c r="C354" s="24"/>
      <c r="D354" s="11"/>
      <c r="E354" s="11"/>
      <c r="F354" s="351"/>
      <c r="G354" s="43"/>
      <c r="H354" s="10"/>
      <c r="I354" s="10"/>
      <c r="J354" s="10"/>
      <c r="K354" s="52"/>
      <c r="L354" s="49" t="str">
        <f t="shared" ref="L354:L357" si="162">IFERROR(AVERAGE(G354:K354)/60,"")</f>
        <v/>
      </c>
      <c r="M354" s="329"/>
      <c r="N354" s="329"/>
      <c r="O354" s="329"/>
      <c r="P354" s="341"/>
      <c r="Q354" s="29"/>
    </row>
    <row r="355" spans="1:17">
      <c r="A355" s="336"/>
      <c r="B355" s="334"/>
      <c r="C355" s="24"/>
      <c r="D355" s="11"/>
      <c r="E355" s="11"/>
      <c r="F355" s="351"/>
      <c r="G355" s="43"/>
      <c r="H355" s="10"/>
      <c r="I355" s="10"/>
      <c r="J355" s="10"/>
      <c r="K355" s="52"/>
      <c r="L355" s="49" t="str">
        <f t="shared" si="162"/>
        <v/>
      </c>
      <c r="M355" s="329"/>
      <c r="N355" s="329"/>
      <c r="O355" s="329"/>
      <c r="P355" s="341"/>
      <c r="Q355" s="29"/>
    </row>
    <row r="356" spans="1:17">
      <c r="A356" s="336"/>
      <c r="B356" s="334"/>
      <c r="C356" s="24"/>
      <c r="D356" s="11"/>
      <c r="E356" s="11"/>
      <c r="F356" s="351"/>
      <c r="G356" s="43"/>
      <c r="H356" s="10"/>
      <c r="I356" s="10"/>
      <c r="J356" s="10"/>
      <c r="K356" s="52"/>
      <c r="L356" s="49" t="str">
        <f t="shared" si="162"/>
        <v/>
      </c>
      <c r="M356" s="329"/>
      <c r="N356" s="329"/>
      <c r="O356" s="329"/>
      <c r="P356" s="341"/>
      <c r="Q356" s="29"/>
    </row>
    <row r="357" spans="1:17">
      <c r="A357" s="336"/>
      <c r="B357" s="334"/>
      <c r="C357" s="24"/>
      <c r="D357" s="11"/>
      <c r="E357" s="11"/>
      <c r="F357" s="351"/>
      <c r="G357" s="43"/>
      <c r="H357" s="10"/>
      <c r="I357" s="10"/>
      <c r="J357" s="10"/>
      <c r="K357" s="52"/>
      <c r="L357" s="49" t="str">
        <f t="shared" si="162"/>
        <v/>
      </c>
      <c r="M357" s="329"/>
      <c r="N357" s="329"/>
      <c r="O357" s="329"/>
      <c r="P357" s="341"/>
      <c r="Q357" s="29"/>
    </row>
    <row r="358" spans="1:17" ht="15" thickBot="1">
      <c r="A358" s="337"/>
      <c r="B358" s="327"/>
      <c r="C358" s="30"/>
      <c r="D358" s="26"/>
      <c r="E358" s="26"/>
      <c r="F358" s="352"/>
      <c r="G358" s="44"/>
      <c r="H358" s="46"/>
      <c r="I358" s="46"/>
      <c r="J358" s="46"/>
      <c r="K358" s="47"/>
      <c r="L358" s="50" t="str">
        <f>IFERROR(AVERAGE(G358:K358)/60,"")</f>
        <v/>
      </c>
      <c r="M358" s="330"/>
      <c r="N358" s="330"/>
      <c r="O358" s="330"/>
      <c r="P358" s="342"/>
      <c r="Q358" s="31"/>
    </row>
    <row r="359" spans="1:17">
      <c r="A359" s="335"/>
      <c r="B359" s="326"/>
      <c r="C359" s="27"/>
      <c r="D359" s="25"/>
      <c r="E359" s="25"/>
      <c r="F359" s="350">
        <f t="shared" ref="F359" si="163">SUM(E359:E364)</f>
        <v>0</v>
      </c>
      <c r="G359" s="42"/>
      <c r="H359" s="45"/>
      <c r="I359" s="45"/>
      <c r="J359" s="45"/>
      <c r="K359" s="51"/>
      <c r="L359" s="48" t="str">
        <f>IFERROR(AVERAGE(G359:K359)/60,"")</f>
        <v/>
      </c>
      <c r="M359" s="328">
        <f>SUM(L359:L364)</f>
        <v>0</v>
      </c>
      <c r="N359" s="328">
        <f>IFERROR(M359*1.1,"")</f>
        <v>0</v>
      </c>
      <c r="O359" s="328" t="str">
        <f>IFERROR(60/N359,"")</f>
        <v/>
      </c>
      <c r="P359" s="340" t="str">
        <f t="shared" ref="P359" si="164">IFERROR(SUM(E359:E364)*O359/60,"")</f>
        <v/>
      </c>
      <c r="Q359" s="28"/>
    </row>
    <row r="360" spans="1:17">
      <c r="A360" s="336"/>
      <c r="B360" s="334"/>
      <c r="C360" s="24"/>
      <c r="D360" s="11"/>
      <c r="E360" s="11"/>
      <c r="F360" s="351"/>
      <c r="G360" s="43"/>
      <c r="H360" s="10"/>
      <c r="I360" s="10"/>
      <c r="J360" s="10"/>
      <c r="K360" s="52"/>
      <c r="L360" s="49" t="str">
        <f t="shared" ref="L360:L363" si="165">IFERROR(AVERAGE(G360:K360)/60,"")</f>
        <v/>
      </c>
      <c r="M360" s="329"/>
      <c r="N360" s="329"/>
      <c r="O360" s="329"/>
      <c r="P360" s="341"/>
      <c r="Q360" s="29"/>
    </row>
    <row r="361" spans="1:17">
      <c r="A361" s="336"/>
      <c r="B361" s="334"/>
      <c r="C361" s="24"/>
      <c r="D361" s="11"/>
      <c r="E361" s="11"/>
      <c r="F361" s="351"/>
      <c r="G361" s="43"/>
      <c r="H361" s="10"/>
      <c r="I361" s="10"/>
      <c r="J361" s="10"/>
      <c r="K361" s="52"/>
      <c r="L361" s="49" t="str">
        <f t="shared" si="165"/>
        <v/>
      </c>
      <c r="M361" s="329"/>
      <c r="N361" s="329"/>
      <c r="O361" s="329"/>
      <c r="P361" s="341"/>
      <c r="Q361" s="29"/>
    </row>
    <row r="362" spans="1:17">
      <c r="A362" s="336"/>
      <c r="B362" s="334"/>
      <c r="C362" s="24"/>
      <c r="D362" s="11"/>
      <c r="E362" s="11"/>
      <c r="F362" s="351"/>
      <c r="G362" s="43"/>
      <c r="H362" s="10"/>
      <c r="I362" s="10"/>
      <c r="J362" s="10"/>
      <c r="K362" s="52"/>
      <c r="L362" s="49" t="str">
        <f t="shared" si="165"/>
        <v/>
      </c>
      <c r="M362" s="329"/>
      <c r="N362" s="329"/>
      <c r="O362" s="329"/>
      <c r="P362" s="341"/>
      <c r="Q362" s="29"/>
    </row>
    <row r="363" spans="1:17">
      <c r="A363" s="336"/>
      <c r="B363" s="334"/>
      <c r="C363" s="24"/>
      <c r="D363" s="11"/>
      <c r="E363" s="11"/>
      <c r="F363" s="351"/>
      <c r="G363" s="43"/>
      <c r="H363" s="10"/>
      <c r="I363" s="10"/>
      <c r="J363" s="10"/>
      <c r="K363" s="52"/>
      <c r="L363" s="49" t="str">
        <f t="shared" si="165"/>
        <v/>
      </c>
      <c r="M363" s="329"/>
      <c r="N363" s="329"/>
      <c r="O363" s="329"/>
      <c r="P363" s="341"/>
      <c r="Q363" s="29"/>
    </row>
    <row r="364" spans="1:17" ht="15" thickBot="1">
      <c r="A364" s="337"/>
      <c r="B364" s="327"/>
      <c r="C364" s="30"/>
      <c r="D364" s="26"/>
      <c r="E364" s="26"/>
      <c r="F364" s="352"/>
      <c r="G364" s="44"/>
      <c r="H364" s="46"/>
      <c r="I364" s="46"/>
      <c r="J364" s="46"/>
      <c r="K364" s="47"/>
      <c r="L364" s="50" t="str">
        <f>IFERROR(AVERAGE(G364:K364)/60,"")</f>
        <v/>
      </c>
      <c r="M364" s="330"/>
      <c r="N364" s="330"/>
      <c r="O364" s="330"/>
      <c r="P364" s="342"/>
      <c r="Q364" s="31"/>
    </row>
    <row r="365" spans="1:17">
      <c r="A365" s="335"/>
      <c r="B365" s="326"/>
      <c r="C365" s="27"/>
      <c r="D365" s="25"/>
      <c r="E365" s="25"/>
      <c r="F365" s="350">
        <f t="shared" ref="F365" si="166">SUM(E365:E370)</f>
        <v>0</v>
      </c>
      <c r="G365" s="42"/>
      <c r="H365" s="45"/>
      <c r="I365" s="45"/>
      <c r="J365" s="45"/>
      <c r="K365" s="51"/>
      <c r="L365" s="48" t="str">
        <f>IFERROR(AVERAGE(G365:K365)/60,"")</f>
        <v/>
      </c>
      <c r="M365" s="328">
        <f>SUM(L365:L370)</f>
        <v>0</v>
      </c>
      <c r="N365" s="328">
        <f>IFERROR(M365*1.1,"")</f>
        <v>0</v>
      </c>
      <c r="O365" s="328" t="str">
        <f>IFERROR(60/N365,"")</f>
        <v/>
      </c>
      <c r="P365" s="340" t="str">
        <f>IFERROR(SUM(E365:E370)*O365/60,"")</f>
        <v/>
      </c>
      <c r="Q365" s="28"/>
    </row>
    <row r="366" spans="1:17">
      <c r="A366" s="336"/>
      <c r="B366" s="334"/>
      <c r="C366" s="24"/>
      <c r="D366" s="11"/>
      <c r="E366" s="11"/>
      <c r="F366" s="351"/>
      <c r="G366" s="43"/>
      <c r="H366" s="10"/>
      <c r="I366" s="10"/>
      <c r="J366" s="10"/>
      <c r="K366" s="52"/>
      <c r="L366" s="49" t="str">
        <f t="shared" ref="L366:L369" si="167">IFERROR(AVERAGE(G366:K366)/60,"")</f>
        <v/>
      </c>
      <c r="M366" s="329"/>
      <c r="N366" s="329"/>
      <c r="O366" s="329"/>
      <c r="P366" s="341"/>
      <c r="Q366" s="29"/>
    </row>
    <row r="367" spans="1:17">
      <c r="A367" s="336"/>
      <c r="B367" s="334"/>
      <c r="C367" s="24"/>
      <c r="D367" s="11"/>
      <c r="E367" s="11"/>
      <c r="F367" s="351"/>
      <c r="G367" s="43"/>
      <c r="H367" s="10"/>
      <c r="I367" s="10"/>
      <c r="J367" s="10"/>
      <c r="K367" s="52"/>
      <c r="L367" s="49" t="str">
        <f t="shared" si="167"/>
        <v/>
      </c>
      <c r="M367" s="329"/>
      <c r="N367" s="329"/>
      <c r="O367" s="329"/>
      <c r="P367" s="341"/>
      <c r="Q367" s="29"/>
    </row>
    <row r="368" spans="1:17">
      <c r="A368" s="336"/>
      <c r="B368" s="334"/>
      <c r="C368" s="24"/>
      <c r="D368" s="11"/>
      <c r="E368" s="11"/>
      <c r="F368" s="351"/>
      <c r="G368" s="43"/>
      <c r="H368" s="10"/>
      <c r="I368" s="10"/>
      <c r="J368" s="10"/>
      <c r="K368" s="52"/>
      <c r="L368" s="49" t="str">
        <f t="shared" si="167"/>
        <v/>
      </c>
      <c r="M368" s="329"/>
      <c r="N368" s="329"/>
      <c r="O368" s="329"/>
      <c r="P368" s="341"/>
      <c r="Q368" s="29"/>
    </row>
    <row r="369" spans="1:17">
      <c r="A369" s="336"/>
      <c r="B369" s="334"/>
      <c r="C369" s="24"/>
      <c r="D369" s="11"/>
      <c r="E369" s="11"/>
      <c r="F369" s="351"/>
      <c r="G369" s="43"/>
      <c r="H369" s="10"/>
      <c r="I369" s="10"/>
      <c r="J369" s="10"/>
      <c r="K369" s="52"/>
      <c r="L369" s="49" t="str">
        <f t="shared" si="167"/>
        <v/>
      </c>
      <c r="M369" s="329"/>
      <c r="N369" s="329"/>
      <c r="O369" s="329"/>
      <c r="P369" s="341"/>
      <c r="Q369" s="29"/>
    </row>
    <row r="370" spans="1:17" ht="15" thickBot="1">
      <c r="A370" s="337"/>
      <c r="B370" s="327"/>
      <c r="C370" s="30"/>
      <c r="D370" s="26"/>
      <c r="E370" s="26"/>
      <c r="F370" s="352"/>
      <c r="G370" s="44"/>
      <c r="H370" s="46"/>
      <c r="I370" s="46"/>
      <c r="J370" s="46"/>
      <c r="K370" s="47"/>
      <c r="L370" s="50" t="str">
        <f>IFERROR(AVERAGE(G370:K370)/60,"")</f>
        <v/>
      </c>
      <c r="M370" s="330"/>
      <c r="N370" s="330"/>
      <c r="O370" s="330"/>
      <c r="P370" s="342"/>
      <c r="Q370" s="31"/>
    </row>
    <row r="371" spans="1:17">
      <c r="A371" s="335"/>
      <c r="B371" s="326"/>
      <c r="C371" s="27"/>
      <c r="D371" s="25"/>
      <c r="E371" s="25"/>
      <c r="F371" s="350">
        <f t="shared" ref="F371" si="168">SUM(E371:E376)</f>
        <v>0</v>
      </c>
      <c r="G371" s="42"/>
      <c r="H371" s="45"/>
      <c r="I371" s="45"/>
      <c r="J371" s="45"/>
      <c r="K371" s="51"/>
      <c r="L371" s="48" t="str">
        <f>IFERROR(AVERAGE(G371:K371)/60,"")</f>
        <v/>
      </c>
      <c r="M371" s="328">
        <f>SUM(L371:L376)</f>
        <v>0</v>
      </c>
      <c r="N371" s="328">
        <f>IFERROR(M371*1.1,"")</f>
        <v>0</v>
      </c>
      <c r="O371" s="328" t="str">
        <f>IFERROR(60/N371,"")</f>
        <v/>
      </c>
      <c r="P371" s="340" t="str">
        <f t="shared" ref="P371" si="169">IFERROR(SUM(E371:E376)*O371/60,"")</f>
        <v/>
      </c>
      <c r="Q371" s="28"/>
    </row>
    <row r="372" spans="1:17">
      <c r="A372" s="336"/>
      <c r="B372" s="334"/>
      <c r="C372" s="24"/>
      <c r="D372" s="11"/>
      <c r="E372" s="11"/>
      <c r="F372" s="351"/>
      <c r="G372" s="43"/>
      <c r="H372" s="10"/>
      <c r="I372" s="10"/>
      <c r="J372" s="10"/>
      <c r="K372" s="52"/>
      <c r="L372" s="49" t="str">
        <f t="shared" ref="L372:L375" si="170">IFERROR(AVERAGE(G372:K372)/60,"")</f>
        <v/>
      </c>
      <c r="M372" s="329"/>
      <c r="N372" s="329"/>
      <c r="O372" s="329"/>
      <c r="P372" s="341"/>
      <c r="Q372" s="29"/>
    </row>
    <row r="373" spans="1:17">
      <c r="A373" s="336"/>
      <c r="B373" s="334"/>
      <c r="C373" s="24"/>
      <c r="D373" s="11"/>
      <c r="E373" s="11"/>
      <c r="F373" s="351"/>
      <c r="G373" s="43"/>
      <c r="H373" s="10"/>
      <c r="I373" s="10"/>
      <c r="J373" s="10"/>
      <c r="K373" s="52"/>
      <c r="L373" s="49" t="str">
        <f t="shared" si="170"/>
        <v/>
      </c>
      <c r="M373" s="329"/>
      <c r="N373" s="329"/>
      <c r="O373" s="329"/>
      <c r="P373" s="341"/>
      <c r="Q373" s="29"/>
    </row>
    <row r="374" spans="1:17">
      <c r="A374" s="336"/>
      <c r="B374" s="334"/>
      <c r="C374" s="24"/>
      <c r="D374" s="11"/>
      <c r="E374" s="11"/>
      <c r="F374" s="351"/>
      <c r="G374" s="43"/>
      <c r="H374" s="10"/>
      <c r="I374" s="10"/>
      <c r="J374" s="10"/>
      <c r="K374" s="52"/>
      <c r="L374" s="49" t="str">
        <f t="shared" si="170"/>
        <v/>
      </c>
      <c r="M374" s="329"/>
      <c r="N374" s="329"/>
      <c r="O374" s="329"/>
      <c r="P374" s="341"/>
      <c r="Q374" s="29"/>
    </row>
    <row r="375" spans="1:17">
      <c r="A375" s="336"/>
      <c r="B375" s="334"/>
      <c r="C375" s="24"/>
      <c r="D375" s="11"/>
      <c r="E375" s="11"/>
      <c r="F375" s="351"/>
      <c r="G375" s="43"/>
      <c r="H375" s="10"/>
      <c r="I375" s="10"/>
      <c r="J375" s="10"/>
      <c r="K375" s="52"/>
      <c r="L375" s="49" t="str">
        <f t="shared" si="170"/>
        <v/>
      </c>
      <c r="M375" s="329"/>
      <c r="N375" s="329"/>
      <c r="O375" s="329"/>
      <c r="P375" s="341"/>
      <c r="Q375" s="29"/>
    </row>
    <row r="376" spans="1:17" ht="15" thickBot="1">
      <c r="A376" s="337"/>
      <c r="B376" s="327"/>
      <c r="C376" s="30"/>
      <c r="D376" s="26"/>
      <c r="E376" s="26"/>
      <c r="F376" s="352"/>
      <c r="G376" s="44"/>
      <c r="H376" s="46"/>
      <c r="I376" s="46"/>
      <c r="J376" s="46"/>
      <c r="K376" s="47"/>
      <c r="L376" s="50" t="str">
        <f>IFERROR(AVERAGE(G376:K376)/60,"")</f>
        <v/>
      </c>
      <c r="M376" s="330"/>
      <c r="N376" s="330"/>
      <c r="O376" s="330"/>
      <c r="P376" s="342"/>
      <c r="Q376" s="31"/>
    </row>
    <row r="377" spans="1:17">
      <c r="A377" s="335"/>
      <c r="B377" s="326"/>
      <c r="C377" s="27"/>
      <c r="D377" s="25"/>
      <c r="E377" s="25"/>
      <c r="F377" s="350">
        <f t="shared" ref="F377" si="171">SUM(E377:E382)</f>
        <v>0</v>
      </c>
      <c r="G377" s="42"/>
      <c r="H377" s="45"/>
      <c r="I377" s="45"/>
      <c r="J377" s="45"/>
      <c r="K377" s="51"/>
      <c r="L377" s="48" t="str">
        <f>IFERROR(AVERAGE(G377:K377)/60,"")</f>
        <v/>
      </c>
      <c r="M377" s="328">
        <f>SUM(L377:L382)</f>
        <v>0</v>
      </c>
      <c r="N377" s="328">
        <f>IFERROR(M377*1.1,"")</f>
        <v>0</v>
      </c>
      <c r="O377" s="328" t="str">
        <f>IFERROR(60/N377,"")</f>
        <v/>
      </c>
      <c r="P377" s="340" t="str">
        <f t="shared" ref="P377" si="172">IFERROR(SUM(E377:E382)*O377/60,"")</f>
        <v/>
      </c>
      <c r="Q377" s="28"/>
    </row>
    <row r="378" spans="1:17">
      <c r="A378" s="336"/>
      <c r="B378" s="334"/>
      <c r="C378" s="24"/>
      <c r="D378" s="11"/>
      <c r="E378" s="11"/>
      <c r="F378" s="351"/>
      <c r="G378" s="43"/>
      <c r="H378" s="10"/>
      <c r="I378" s="10"/>
      <c r="J378" s="10"/>
      <c r="K378" s="52"/>
      <c r="L378" s="49" t="str">
        <f t="shared" ref="L378:L381" si="173">IFERROR(AVERAGE(G378:K378)/60,"")</f>
        <v/>
      </c>
      <c r="M378" s="329"/>
      <c r="N378" s="329"/>
      <c r="O378" s="329"/>
      <c r="P378" s="341"/>
      <c r="Q378" s="29"/>
    </row>
    <row r="379" spans="1:17">
      <c r="A379" s="336"/>
      <c r="B379" s="334"/>
      <c r="C379" s="24"/>
      <c r="D379" s="11"/>
      <c r="E379" s="11"/>
      <c r="F379" s="351"/>
      <c r="G379" s="43"/>
      <c r="H379" s="10"/>
      <c r="I379" s="10"/>
      <c r="J379" s="10"/>
      <c r="K379" s="52"/>
      <c r="L379" s="49" t="str">
        <f t="shared" si="173"/>
        <v/>
      </c>
      <c r="M379" s="329"/>
      <c r="N379" s="329"/>
      <c r="O379" s="329"/>
      <c r="P379" s="341"/>
      <c r="Q379" s="29"/>
    </row>
    <row r="380" spans="1:17">
      <c r="A380" s="336"/>
      <c r="B380" s="334"/>
      <c r="C380" s="24"/>
      <c r="D380" s="11"/>
      <c r="E380" s="11"/>
      <c r="F380" s="351"/>
      <c r="G380" s="43"/>
      <c r="H380" s="10"/>
      <c r="I380" s="10"/>
      <c r="J380" s="10"/>
      <c r="K380" s="52"/>
      <c r="L380" s="49" t="str">
        <f t="shared" si="173"/>
        <v/>
      </c>
      <c r="M380" s="329"/>
      <c r="N380" s="329"/>
      <c r="O380" s="329"/>
      <c r="P380" s="341"/>
      <c r="Q380" s="29"/>
    </row>
    <row r="381" spans="1:17">
      <c r="A381" s="336"/>
      <c r="B381" s="334"/>
      <c r="C381" s="24"/>
      <c r="D381" s="11"/>
      <c r="E381" s="11"/>
      <c r="F381" s="351"/>
      <c r="G381" s="43"/>
      <c r="H381" s="10"/>
      <c r="I381" s="10"/>
      <c r="J381" s="10"/>
      <c r="K381" s="52"/>
      <c r="L381" s="49" t="str">
        <f t="shared" si="173"/>
        <v/>
      </c>
      <c r="M381" s="329"/>
      <c r="N381" s="329"/>
      <c r="O381" s="329"/>
      <c r="P381" s="341"/>
      <c r="Q381" s="29"/>
    </row>
    <row r="382" spans="1:17" ht="15" thickBot="1">
      <c r="A382" s="337"/>
      <c r="B382" s="327"/>
      <c r="C382" s="30"/>
      <c r="D382" s="26"/>
      <c r="E382" s="26"/>
      <c r="F382" s="352"/>
      <c r="G382" s="44"/>
      <c r="H382" s="46"/>
      <c r="I382" s="46"/>
      <c r="J382" s="46"/>
      <c r="K382" s="47"/>
      <c r="L382" s="50" t="str">
        <f>IFERROR(AVERAGE(G382:K382)/60,"")</f>
        <v/>
      </c>
      <c r="M382" s="330"/>
      <c r="N382" s="330"/>
      <c r="O382" s="330"/>
      <c r="P382" s="342"/>
      <c r="Q382" s="31"/>
    </row>
    <row r="383" spans="1:17">
      <c r="A383" s="335"/>
      <c r="B383" s="326"/>
      <c r="C383" s="27"/>
      <c r="D383" s="25"/>
      <c r="E383" s="25"/>
      <c r="F383" s="350">
        <f t="shared" ref="F383" si="174">SUM(E383:E388)</f>
        <v>0</v>
      </c>
      <c r="G383" s="42"/>
      <c r="H383" s="45"/>
      <c r="I383" s="45"/>
      <c r="J383" s="45"/>
      <c r="K383" s="51"/>
      <c r="L383" s="48" t="str">
        <f>IFERROR(AVERAGE(G383:K383)/60,"")</f>
        <v/>
      </c>
      <c r="M383" s="328">
        <f>SUM(L383:L388)</f>
        <v>0</v>
      </c>
      <c r="N383" s="328">
        <f>IFERROR(M383*1.1,"")</f>
        <v>0</v>
      </c>
      <c r="O383" s="328" t="str">
        <f>IFERROR(60/N383,"")</f>
        <v/>
      </c>
      <c r="P383" s="340" t="str">
        <f t="shared" ref="P383" si="175">IFERROR(SUM(E383:E388)*O383/60,"")</f>
        <v/>
      </c>
      <c r="Q383" s="28"/>
    </row>
    <row r="384" spans="1:17">
      <c r="A384" s="336"/>
      <c r="B384" s="334"/>
      <c r="C384" s="24"/>
      <c r="D384" s="11"/>
      <c r="E384" s="11"/>
      <c r="F384" s="351"/>
      <c r="G384" s="43"/>
      <c r="H384" s="10"/>
      <c r="I384" s="10"/>
      <c r="J384" s="10"/>
      <c r="K384" s="52"/>
      <c r="L384" s="49" t="str">
        <f t="shared" ref="L384:L387" si="176">IFERROR(AVERAGE(G384:K384)/60,"")</f>
        <v/>
      </c>
      <c r="M384" s="329"/>
      <c r="N384" s="329"/>
      <c r="O384" s="329"/>
      <c r="P384" s="341"/>
      <c r="Q384" s="29"/>
    </row>
    <row r="385" spans="1:17">
      <c r="A385" s="336"/>
      <c r="B385" s="334"/>
      <c r="C385" s="24"/>
      <c r="D385" s="11"/>
      <c r="E385" s="11"/>
      <c r="F385" s="351"/>
      <c r="G385" s="43"/>
      <c r="H385" s="10"/>
      <c r="I385" s="10"/>
      <c r="J385" s="10"/>
      <c r="K385" s="52"/>
      <c r="L385" s="49" t="str">
        <f t="shared" si="176"/>
        <v/>
      </c>
      <c r="M385" s="329"/>
      <c r="N385" s="329"/>
      <c r="O385" s="329"/>
      <c r="P385" s="341"/>
      <c r="Q385" s="29"/>
    </row>
    <row r="386" spans="1:17">
      <c r="A386" s="336"/>
      <c r="B386" s="334"/>
      <c r="C386" s="24"/>
      <c r="D386" s="11"/>
      <c r="E386" s="11"/>
      <c r="F386" s="351"/>
      <c r="G386" s="43"/>
      <c r="H386" s="10"/>
      <c r="I386" s="10"/>
      <c r="J386" s="10"/>
      <c r="K386" s="52"/>
      <c r="L386" s="49" t="str">
        <f t="shared" si="176"/>
        <v/>
      </c>
      <c r="M386" s="329"/>
      <c r="N386" s="329"/>
      <c r="O386" s="329"/>
      <c r="P386" s="341"/>
      <c r="Q386" s="29"/>
    </row>
    <row r="387" spans="1:17">
      <c r="A387" s="336"/>
      <c r="B387" s="334"/>
      <c r="C387" s="24"/>
      <c r="D387" s="11"/>
      <c r="E387" s="11"/>
      <c r="F387" s="351"/>
      <c r="G387" s="43"/>
      <c r="H387" s="10"/>
      <c r="I387" s="10"/>
      <c r="J387" s="10"/>
      <c r="K387" s="52"/>
      <c r="L387" s="49" t="str">
        <f t="shared" si="176"/>
        <v/>
      </c>
      <c r="M387" s="329"/>
      <c r="N387" s="329"/>
      <c r="O387" s="329"/>
      <c r="P387" s="341"/>
      <c r="Q387" s="29"/>
    </row>
    <row r="388" spans="1:17" ht="15" thickBot="1">
      <c r="A388" s="337"/>
      <c r="B388" s="327"/>
      <c r="C388" s="30"/>
      <c r="D388" s="26"/>
      <c r="E388" s="26"/>
      <c r="F388" s="352"/>
      <c r="G388" s="44"/>
      <c r="H388" s="46"/>
      <c r="I388" s="46"/>
      <c r="J388" s="46"/>
      <c r="K388" s="47"/>
      <c r="L388" s="50" t="str">
        <f>IFERROR(AVERAGE(G388:K388)/60,"")</f>
        <v/>
      </c>
      <c r="M388" s="330"/>
      <c r="N388" s="330"/>
      <c r="O388" s="330"/>
      <c r="P388" s="342"/>
      <c r="Q388" s="31"/>
    </row>
    <row r="389" spans="1:17">
      <c r="A389" s="335"/>
      <c r="B389" s="326"/>
      <c r="C389" s="27"/>
      <c r="D389" s="25"/>
      <c r="E389" s="25"/>
      <c r="F389" s="350">
        <f t="shared" ref="F389" si="177">SUM(E389:E394)</f>
        <v>0</v>
      </c>
      <c r="G389" s="42"/>
      <c r="H389" s="45"/>
      <c r="I389" s="45"/>
      <c r="J389" s="45"/>
      <c r="K389" s="51"/>
      <c r="L389" s="48" t="str">
        <f>IFERROR(AVERAGE(G389:K389)/60,"")</f>
        <v/>
      </c>
      <c r="M389" s="328">
        <f>SUM(L389:L394)</f>
        <v>0</v>
      </c>
      <c r="N389" s="328">
        <f>IFERROR(M389*1.1,"")</f>
        <v>0</v>
      </c>
      <c r="O389" s="328" t="str">
        <f>IFERROR(60/N389,"")</f>
        <v/>
      </c>
      <c r="P389" s="340" t="str">
        <f t="shared" ref="P389" si="178">IFERROR(SUM(E389:E394)*O389/60,"")</f>
        <v/>
      </c>
      <c r="Q389" s="28"/>
    </row>
    <row r="390" spans="1:17">
      <c r="A390" s="336"/>
      <c r="B390" s="334"/>
      <c r="C390" s="24"/>
      <c r="D390" s="11"/>
      <c r="E390" s="11"/>
      <c r="F390" s="351"/>
      <c r="G390" s="43"/>
      <c r="H390" s="10"/>
      <c r="I390" s="10"/>
      <c r="J390" s="10"/>
      <c r="K390" s="52"/>
      <c r="L390" s="49" t="str">
        <f t="shared" ref="L390:L393" si="179">IFERROR(AVERAGE(G390:K390)/60,"")</f>
        <v/>
      </c>
      <c r="M390" s="329"/>
      <c r="N390" s="329"/>
      <c r="O390" s="329"/>
      <c r="P390" s="341"/>
      <c r="Q390" s="29"/>
    </row>
    <row r="391" spans="1:17">
      <c r="A391" s="336"/>
      <c r="B391" s="334"/>
      <c r="C391" s="24"/>
      <c r="D391" s="11"/>
      <c r="E391" s="11"/>
      <c r="F391" s="351"/>
      <c r="G391" s="43"/>
      <c r="H391" s="10"/>
      <c r="I391" s="10"/>
      <c r="J391" s="10"/>
      <c r="K391" s="52"/>
      <c r="L391" s="49" t="str">
        <f t="shared" si="179"/>
        <v/>
      </c>
      <c r="M391" s="329"/>
      <c r="N391" s="329"/>
      <c r="O391" s="329"/>
      <c r="P391" s="341"/>
      <c r="Q391" s="29"/>
    </row>
    <row r="392" spans="1:17">
      <c r="A392" s="336"/>
      <c r="B392" s="334"/>
      <c r="C392" s="24"/>
      <c r="D392" s="11"/>
      <c r="E392" s="11"/>
      <c r="F392" s="351"/>
      <c r="G392" s="43"/>
      <c r="H392" s="10"/>
      <c r="I392" s="10"/>
      <c r="J392" s="10"/>
      <c r="K392" s="52"/>
      <c r="L392" s="49" t="str">
        <f t="shared" si="179"/>
        <v/>
      </c>
      <c r="M392" s="329"/>
      <c r="N392" s="329"/>
      <c r="O392" s="329"/>
      <c r="P392" s="341"/>
      <c r="Q392" s="29"/>
    </row>
    <row r="393" spans="1:17">
      <c r="A393" s="336"/>
      <c r="B393" s="334"/>
      <c r="C393" s="24"/>
      <c r="D393" s="11"/>
      <c r="E393" s="11"/>
      <c r="F393" s="351"/>
      <c r="G393" s="43"/>
      <c r="H393" s="10"/>
      <c r="I393" s="10"/>
      <c r="J393" s="10"/>
      <c r="K393" s="52"/>
      <c r="L393" s="49" t="str">
        <f t="shared" si="179"/>
        <v/>
      </c>
      <c r="M393" s="329"/>
      <c r="N393" s="329"/>
      <c r="O393" s="329"/>
      <c r="P393" s="341"/>
      <c r="Q393" s="29"/>
    </row>
    <row r="394" spans="1:17" ht="15" thickBot="1">
      <c r="A394" s="337"/>
      <c r="B394" s="327"/>
      <c r="C394" s="30"/>
      <c r="D394" s="26"/>
      <c r="E394" s="26"/>
      <c r="F394" s="352"/>
      <c r="G394" s="44"/>
      <c r="H394" s="46"/>
      <c r="I394" s="46"/>
      <c r="J394" s="46"/>
      <c r="K394" s="47"/>
      <c r="L394" s="50" t="str">
        <f>IFERROR(AVERAGE(G394:K394)/60,"")</f>
        <v/>
      </c>
      <c r="M394" s="330"/>
      <c r="N394" s="330"/>
      <c r="O394" s="330"/>
      <c r="P394" s="342"/>
      <c r="Q394" s="31"/>
    </row>
    <row r="395" spans="1:17">
      <c r="A395" s="335"/>
      <c r="B395" s="326"/>
      <c r="C395" s="27"/>
      <c r="D395" s="25"/>
      <c r="E395" s="25"/>
      <c r="F395" s="350">
        <f t="shared" ref="F395" si="180">SUM(E395:E400)</f>
        <v>0</v>
      </c>
      <c r="G395" s="42"/>
      <c r="H395" s="45"/>
      <c r="I395" s="45"/>
      <c r="J395" s="45"/>
      <c r="K395" s="51"/>
      <c r="L395" s="48" t="str">
        <f>IFERROR(AVERAGE(G395:K395)/60,"")</f>
        <v/>
      </c>
      <c r="M395" s="328">
        <f>SUM(L395:L400)</f>
        <v>0</v>
      </c>
      <c r="N395" s="328">
        <f>IFERROR(M395*1.1,"")</f>
        <v>0</v>
      </c>
      <c r="O395" s="328" t="str">
        <f>IFERROR(60/N395,"")</f>
        <v/>
      </c>
      <c r="P395" s="340" t="str">
        <f>IFERROR(SUM(E395:E400)*O395/60,"")</f>
        <v/>
      </c>
      <c r="Q395" s="28"/>
    </row>
    <row r="396" spans="1:17">
      <c r="A396" s="336"/>
      <c r="B396" s="334"/>
      <c r="C396" s="24"/>
      <c r="D396" s="11"/>
      <c r="E396" s="11"/>
      <c r="F396" s="351"/>
      <c r="G396" s="43"/>
      <c r="H396" s="10"/>
      <c r="I396" s="10"/>
      <c r="J396" s="10"/>
      <c r="K396" s="52"/>
      <c r="L396" s="49" t="str">
        <f t="shared" ref="L396:L399" si="181">IFERROR(AVERAGE(G396:K396)/60,"")</f>
        <v/>
      </c>
      <c r="M396" s="329"/>
      <c r="N396" s="329"/>
      <c r="O396" s="329"/>
      <c r="P396" s="341"/>
      <c r="Q396" s="29"/>
    </row>
    <row r="397" spans="1:17">
      <c r="A397" s="336"/>
      <c r="B397" s="334"/>
      <c r="C397" s="24"/>
      <c r="D397" s="11"/>
      <c r="E397" s="11"/>
      <c r="F397" s="351"/>
      <c r="G397" s="43"/>
      <c r="H397" s="10"/>
      <c r="I397" s="10"/>
      <c r="J397" s="10"/>
      <c r="K397" s="52"/>
      <c r="L397" s="49" t="str">
        <f t="shared" si="181"/>
        <v/>
      </c>
      <c r="M397" s="329"/>
      <c r="N397" s="329"/>
      <c r="O397" s="329"/>
      <c r="P397" s="341"/>
      <c r="Q397" s="29"/>
    </row>
    <row r="398" spans="1:17">
      <c r="A398" s="336"/>
      <c r="B398" s="334"/>
      <c r="C398" s="24"/>
      <c r="D398" s="11"/>
      <c r="E398" s="11"/>
      <c r="F398" s="351"/>
      <c r="G398" s="43"/>
      <c r="H398" s="10"/>
      <c r="I398" s="10"/>
      <c r="J398" s="10"/>
      <c r="K398" s="52"/>
      <c r="L398" s="49" t="str">
        <f t="shared" si="181"/>
        <v/>
      </c>
      <c r="M398" s="329"/>
      <c r="N398" s="329"/>
      <c r="O398" s="329"/>
      <c r="P398" s="341"/>
      <c r="Q398" s="29"/>
    </row>
    <row r="399" spans="1:17">
      <c r="A399" s="336"/>
      <c r="B399" s="334"/>
      <c r="C399" s="24"/>
      <c r="D399" s="11"/>
      <c r="E399" s="11"/>
      <c r="F399" s="351"/>
      <c r="G399" s="43"/>
      <c r="H399" s="10"/>
      <c r="I399" s="10"/>
      <c r="J399" s="10"/>
      <c r="K399" s="52"/>
      <c r="L399" s="49" t="str">
        <f t="shared" si="181"/>
        <v/>
      </c>
      <c r="M399" s="329"/>
      <c r="N399" s="329"/>
      <c r="O399" s="329"/>
      <c r="P399" s="341"/>
      <c r="Q399" s="29"/>
    </row>
    <row r="400" spans="1:17" ht="15" thickBot="1">
      <c r="A400" s="337"/>
      <c r="B400" s="327"/>
      <c r="C400" s="30"/>
      <c r="D400" s="26"/>
      <c r="E400" s="26"/>
      <c r="F400" s="352"/>
      <c r="G400" s="44"/>
      <c r="H400" s="46"/>
      <c r="I400" s="46"/>
      <c r="J400" s="46"/>
      <c r="K400" s="47"/>
      <c r="L400" s="50" t="str">
        <f>IFERROR(AVERAGE(G400:K400)/60,"")</f>
        <v/>
      </c>
      <c r="M400" s="330"/>
      <c r="N400" s="330"/>
      <c r="O400" s="330"/>
      <c r="P400" s="342"/>
      <c r="Q400" s="31"/>
    </row>
    <row r="401" spans="1:17">
      <c r="A401" s="335"/>
      <c r="B401" s="326"/>
      <c r="C401" s="27"/>
      <c r="D401" s="25"/>
      <c r="E401" s="25"/>
      <c r="F401" s="350">
        <f t="shared" ref="F401" si="182">SUM(E401:E406)</f>
        <v>0</v>
      </c>
      <c r="G401" s="42"/>
      <c r="H401" s="45"/>
      <c r="I401" s="45"/>
      <c r="J401" s="45"/>
      <c r="K401" s="51"/>
      <c r="L401" s="48" t="str">
        <f>IFERROR(AVERAGE(G401:K401)/60,"")</f>
        <v/>
      </c>
      <c r="M401" s="328">
        <f>SUM(L401:L406)</f>
        <v>0</v>
      </c>
      <c r="N401" s="328">
        <f>IFERROR(M401*1.1,"")</f>
        <v>0</v>
      </c>
      <c r="O401" s="328" t="str">
        <f>IFERROR(60/N401,"")</f>
        <v/>
      </c>
      <c r="P401" s="340" t="str">
        <f t="shared" ref="P401" si="183">IFERROR(SUM(E401:E406)*O401/60,"")</f>
        <v/>
      </c>
      <c r="Q401" s="28"/>
    </row>
    <row r="402" spans="1:17">
      <c r="A402" s="336"/>
      <c r="B402" s="334"/>
      <c r="C402" s="24"/>
      <c r="D402" s="11"/>
      <c r="E402" s="11"/>
      <c r="F402" s="351"/>
      <c r="G402" s="43"/>
      <c r="H402" s="10"/>
      <c r="I402" s="10"/>
      <c r="J402" s="10"/>
      <c r="K402" s="52"/>
      <c r="L402" s="49" t="str">
        <f t="shared" ref="L402:L405" si="184">IFERROR(AVERAGE(G402:K402)/60,"")</f>
        <v/>
      </c>
      <c r="M402" s="329"/>
      <c r="N402" s="329"/>
      <c r="O402" s="329"/>
      <c r="P402" s="341"/>
      <c r="Q402" s="29"/>
    </row>
    <row r="403" spans="1:17">
      <c r="A403" s="336"/>
      <c r="B403" s="334"/>
      <c r="C403" s="24"/>
      <c r="D403" s="11"/>
      <c r="E403" s="11"/>
      <c r="F403" s="351"/>
      <c r="G403" s="43"/>
      <c r="H403" s="10"/>
      <c r="I403" s="10"/>
      <c r="J403" s="10"/>
      <c r="K403" s="52"/>
      <c r="L403" s="49" t="str">
        <f t="shared" si="184"/>
        <v/>
      </c>
      <c r="M403" s="329"/>
      <c r="N403" s="329"/>
      <c r="O403" s="329"/>
      <c r="P403" s="341"/>
      <c r="Q403" s="29"/>
    </row>
    <row r="404" spans="1:17">
      <c r="A404" s="336"/>
      <c r="B404" s="334"/>
      <c r="C404" s="24"/>
      <c r="D404" s="11"/>
      <c r="E404" s="11"/>
      <c r="F404" s="351"/>
      <c r="G404" s="43"/>
      <c r="H404" s="10"/>
      <c r="I404" s="10"/>
      <c r="J404" s="10"/>
      <c r="K404" s="52"/>
      <c r="L404" s="49" t="str">
        <f t="shared" si="184"/>
        <v/>
      </c>
      <c r="M404" s="329"/>
      <c r="N404" s="329"/>
      <c r="O404" s="329"/>
      <c r="P404" s="341"/>
      <c r="Q404" s="29"/>
    </row>
    <row r="405" spans="1:17">
      <c r="A405" s="336"/>
      <c r="B405" s="334"/>
      <c r="C405" s="24"/>
      <c r="D405" s="11"/>
      <c r="E405" s="11"/>
      <c r="F405" s="351"/>
      <c r="G405" s="43"/>
      <c r="H405" s="10"/>
      <c r="I405" s="10"/>
      <c r="J405" s="10"/>
      <c r="K405" s="52"/>
      <c r="L405" s="49" t="str">
        <f t="shared" si="184"/>
        <v/>
      </c>
      <c r="M405" s="329"/>
      <c r="N405" s="329"/>
      <c r="O405" s="329"/>
      <c r="P405" s="341"/>
      <c r="Q405" s="29"/>
    </row>
    <row r="406" spans="1:17" ht="15" thickBot="1">
      <c r="A406" s="337"/>
      <c r="B406" s="327"/>
      <c r="C406" s="30"/>
      <c r="D406" s="26"/>
      <c r="E406" s="26"/>
      <c r="F406" s="352"/>
      <c r="G406" s="44"/>
      <c r="H406" s="46"/>
      <c r="I406" s="46"/>
      <c r="J406" s="46"/>
      <c r="K406" s="47"/>
      <c r="L406" s="50" t="str">
        <f>IFERROR(AVERAGE(G406:K406)/60,"")</f>
        <v/>
      </c>
      <c r="M406" s="330"/>
      <c r="N406" s="330"/>
      <c r="O406" s="330"/>
      <c r="P406" s="342"/>
      <c r="Q406" s="31"/>
    </row>
    <row r="407" spans="1:17">
      <c r="A407" s="335"/>
      <c r="B407" s="326"/>
      <c r="C407" s="27"/>
      <c r="D407" s="25"/>
      <c r="E407" s="25"/>
      <c r="F407" s="350">
        <f t="shared" ref="F407" si="185">SUM(E407:E412)</f>
        <v>0</v>
      </c>
      <c r="G407" s="42"/>
      <c r="H407" s="45"/>
      <c r="I407" s="45"/>
      <c r="J407" s="45"/>
      <c r="K407" s="51"/>
      <c r="L407" s="48" t="str">
        <f>IFERROR(AVERAGE(G407:K407)/60,"")</f>
        <v/>
      </c>
      <c r="M407" s="328">
        <f>SUM(L407:L412)</f>
        <v>0</v>
      </c>
      <c r="N407" s="328">
        <f>IFERROR(M407*1.1,"")</f>
        <v>0</v>
      </c>
      <c r="O407" s="328" t="str">
        <f>IFERROR(60/N407,"")</f>
        <v/>
      </c>
      <c r="P407" s="340" t="str">
        <f t="shared" ref="P407" si="186">IFERROR(SUM(E407:E412)*O407/60,"")</f>
        <v/>
      </c>
      <c r="Q407" s="28"/>
    </row>
    <row r="408" spans="1:17">
      <c r="A408" s="336"/>
      <c r="B408" s="334"/>
      <c r="C408" s="24"/>
      <c r="D408" s="11"/>
      <c r="E408" s="11"/>
      <c r="F408" s="351"/>
      <c r="G408" s="43"/>
      <c r="H408" s="10"/>
      <c r="I408" s="10"/>
      <c r="J408" s="10"/>
      <c r="K408" s="52"/>
      <c r="L408" s="49" t="str">
        <f t="shared" ref="L408:L411" si="187">IFERROR(AVERAGE(G408:K408)/60,"")</f>
        <v/>
      </c>
      <c r="M408" s="329"/>
      <c r="N408" s="329"/>
      <c r="O408" s="329"/>
      <c r="P408" s="341"/>
      <c r="Q408" s="29"/>
    </row>
    <row r="409" spans="1:17">
      <c r="A409" s="336"/>
      <c r="B409" s="334"/>
      <c r="C409" s="24"/>
      <c r="D409" s="11"/>
      <c r="E409" s="11"/>
      <c r="F409" s="351"/>
      <c r="G409" s="43"/>
      <c r="H409" s="10"/>
      <c r="I409" s="10"/>
      <c r="J409" s="10"/>
      <c r="K409" s="52"/>
      <c r="L409" s="49" t="str">
        <f t="shared" si="187"/>
        <v/>
      </c>
      <c r="M409" s="329"/>
      <c r="N409" s="329"/>
      <c r="O409" s="329"/>
      <c r="P409" s="341"/>
      <c r="Q409" s="29"/>
    </row>
    <row r="410" spans="1:17">
      <c r="A410" s="336"/>
      <c r="B410" s="334"/>
      <c r="C410" s="24"/>
      <c r="D410" s="11"/>
      <c r="E410" s="11"/>
      <c r="F410" s="351"/>
      <c r="G410" s="43"/>
      <c r="H410" s="10"/>
      <c r="I410" s="10"/>
      <c r="J410" s="10"/>
      <c r="K410" s="52"/>
      <c r="L410" s="49" t="str">
        <f t="shared" si="187"/>
        <v/>
      </c>
      <c r="M410" s="329"/>
      <c r="N410" s="329"/>
      <c r="O410" s="329"/>
      <c r="P410" s="341"/>
      <c r="Q410" s="29"/>
    </row>
    <row r="411" spans="1:17">
      <c r="A411" s="336"/>
      <c r="B411" s="334"/>
      <c r="C411" s="24"/>
      <c r="D411" s="11"/>
      <c r="E411" s="11"/>
      <c r="F411" s="351"/>
      <c r="G411" s="43"/>
      <c r="H411" s="10"/>
      <c r="I411" s="10"/>
      <c r="J411" s="10"/>
      <c r="K411" s="52"/>
      <c r="L411" s="49" t="str">
        <f t="shared" si="187"/>
        <v/>
      </c>
      <c r="M411" s="329"/>
      <c r="N411" s="329"/>
      <c r="O411" s="329"/>
      <c r="P411" s="341"/>
      <c r="Q411" s="29"/>
    </row>
    <row r="412" spans="1:17" ht="15" thickBot="1">
      <c r="A412" s="337"/>
      <c r="B412" s="327"/>
      <c r="C412" s="30"/>
      <c r="D412" s="26"/>
      <c r="E412" s="26"/>
      <c r="F412" s="352"/>
      <c r="G412" s="44"/>
      <c r="H412" s="46"/>
      <c r="I412" s="46"/>
      <c r="J412" s="46"/>
      <c r="K412" s="47"/>
      <c r="L412" s="50" t="str">
        <f>IFERROR(AVERAGE(G412:K412)/60,"")</f>
        <v/>
      </c>
      <c r="M412" s="330"/>
      <c r="N412" s="330"/>
      <c r="O412" s="330"/>
      <c r="P412" s="342"/>
      <c r="Q412" s="31"/>
    </row>
    <row r="413" spans="1:17">
      <c r="A413" s="335"/>
      <c r="B413" s="326"/>
      <c r="C413" s="27"/>
      <c r="D413" s="25"/>
      <c r="E413" s="25"/>
      <c r="F413" s="350">
        <f t="shared" ref="F413" si="188">SUM(E413:E418)</f>
        <v>0</v>
      </c>
      <c r="G413" s="42"/>
      <c r="H413" s="45"/>
      <c r="I413" s="45"/>
      <c r="J413" s="45"/>
      <c r="K413" s="51"/>
      <c r="L413" s="48" t="str">
        <f>IFERROR(AVERAGE(G413:K413)/60,"")</f>
        <v/>
      </c>
      <c r="M413" s="328">
        <f>SUM(L413:L418)</f>
        <v>0</v>
      </c>
      <c r="N413" s="328">
        <f>IFERROR(M413*1.1,"")</f>
        <v>0</v>
      </c>
      <c r="O413" s="328" t="str">
        <f>IFERROR(60/N413,"")</f>
        <v/>
      </c>
      <c r="P413" s="340" t="str">
        <f t="shared" ref="P413" si="189">IFERROR(SUM(E413:E418)*O413/60,"")</f>
        <v/>
      </c>
      <c r="Q413" s="28"/>
    </row>
    <row r="414" spans="1:17">
      <c r="A414" s="336"/>
      <c r="B414" s="334"/>
      <c r="C414" s="24"/>
      <c r="D414" s="11"/>
      <c r="E414" s="11"/>
      <c r="F414" s="351"/>
      <c r="G414" s="43"/>
      <c r="H414" s="10"/>
      <c r="I414" s="10"/>
      <c r="J414" s="10"/>
      <c r="K414" s="52"/>
      <c r="L414" s="49" t="str">
        <f t="shared" ref="L414:L417" si="190">IFERROR(AVERAGE(G414:K414)/60,"")</f>
        <v/>
      </c>
      <c r="M414" s="329"/>
      <c r="N414" s="329"/>
      <c r="O414" s="329"/>
      <c r="P414" s="341"/>
      <c r="Q414" s="29"/>
    </row>
    <row r="415" spans="1:17">
      <c r="A415" s="336"/>
      <c r="B415" s="334"/>
      <c r="C415" s="24"/>
      <c r="D415" s="11"/>
      <c r="E415" s="11"/>
      <c r="F415" s="351"/>
      <c r="G415" s="43"/>
      <c r="H415" s="10"/>
      <c r="I415" s="10"/>
      <c r="J415" s="10"/>
      <c r="K415" s="52"/>
      <c r="L415" s="49" t="str">
        <f t="shared" si="190"/>
        <v/>
      </c>
      <c r="M415" s="329"/>
      <c r="N415" s="329"/>
      <c r="O415" s="329"/>
      <c r="P415" s="341"/>
      <c r="Q415" s="29"/>
    </row>
    <row r="416" spans="1:17">
      <c r="A416" s="336"/>
      <c r="B416" s="334"/>
      <c r="C416" s="24"/>
      <c r="D416" s="11"/>
      <c r="E416" s="11"/>
      <c r="F416" s="351"/>
      <c r="G416" s="43"/>
      <c r="H416" s="10"/>
      <c r="I416" s="10"/>
      <c r="J416" s="10"/>
      <c r="K416" s="52"/>
      <c r="L416" s="49" t="str">
        <f t="shared" si="190"/>
        <v/>
      </c>
      <c r="M416" s="329"/>
      <c r="N416" s="329"/>
      <c r="O416" s="329"/>
      <c r="P416" s="341"/>
      <c r="Q416" s="29"/>
    </row>
    <row r="417" spans="1:17">
      <c r="A417" s="336"/>
      <c r="B417" s="334"/>
      <c r="C417" s="24"/>
      <c r="D417" s="11"/>
      <c r="E417" s="11"/>
      <c r="F417" s="351"/>
      <c r="G417" s="43"/>
      <c r="H417" s="10"/>
      <c r="I417" s="10"/>
      <c r="J417" s="10"/>
      <c r="K417" s="52"/>
      <c r="L417" s="49" t="str">
        <f t="shared" si="190"/>
        <v/>
      </c>
      <c r="M417" s="329"/>
      <c r="N417" s="329"/>
      <c r="O417" s="329"/>
      <c r="P417" s="341"/>
      <c r="Q417" s="29"/>
    </row>
    <row r="418" spans="1:17" ht="15" thickBot="1">
      <c r="A418" s="337"/>
      <c r="B418" s="327"/>
      <c r="C418" s="30"/>
      <c r="D418" s="26"/>
      <c r="E418" s="26"/>
      <c r="F418" s="352"/>
      <c r="G418" s="44"/>
      <c r="H418" s="46"/>
      <c r="I418" s="46"/>
      <c r="J418" s="46"/>
      <c r="K418" s="47"/>
      <c r="L418" s="50" t="str">
        <f>IFERROR(AVERAGE(G418:K418)/60,"")</f>
        <v/>
      </c>
      <c r="M418" s="330"/>
      <c r="N418" s="330"/>
      <c r="O418" s="330"/>
      <c r="P418" s="342"/>
      <c r="Q418" s="31"/>
    </row>
    <row r="419" spans="1:17">
      <c r="A419" s="335"/>
      <c r="B419" s="326"/>
      <c r="C419" s="27"/>
      <c r="D419" s="25"/>
      <c r="E419" s="25"/>
      <c r="F419" s="350">
        <f t="shared" ref="F419" si="191">SUM(E419:E424)</f>
        <v>0</v>
      </c>
      <c r="G419" s="42"/>
      <c r="H419" s="45"/>
      <c r="I419" s="45"/>
      <c r="J419" s="45"/>
      <c r="K419" s="51"/>
      <c r="L419" s="48" t="str">
        <f>IFERROR(AVERAGE(G419:K419)/60,"")</f>
        <v/>
      </c>
      <c r="M419" s="328">
        <f>SUM(L419:L424)</f>
        <v>0</v>
      </c>
      <c r="N419" s="328">
        <f>IFERROR(M419*1.1,"")</f>
        <v>0</v>
      </c>
      <c r="O419" s="328" t="str">
        <f>IFERROR(60/N419,"")</f>
        <v/>
      </c>
      <c r="P419" s="340" t="str">
        <f t="shared" ref="P419" si="192">IFERROR(SUM(E419:E424)*O419/60,"")</f>
        <v/>
      </c>
      <c r="Q419" s="28"/>
    </row>
    <row r="420" spans="1:17">
      <c r="A420" s="336"/>
      <c r="B420" s="334"/>
      <c r="C420" s="24"/>
      <c r="D420" s="11"/>
      <c r="E420" s="11"/>
      <c r="F420" s="351"/>
      <c r="G420" s="43"/>
      <c r="H420" s="10"/>
      <c r="I420" s="10"/>
      <c r="J420" s="10"/>
      <c r="K420" s="52"/>
      <c r="L420" s="49" t="str">
        <f t="shared" ref="L420:L423" si="193">IFERROR(AVERAGE(G420:K420)/60,"")</f>
        <v/>
      </c>
      <c r="M420" s="329"/>
      <c r="N420" s="329"/>
      <c r="O420" s="329"/>
      <c r="P420" s="341"/>
      <c r="Q420" s="29"/>
    </row>
    <row r="421" spans="1:17">
      <c r="A421" s="336"/>
      <c r="B421" s="334"/>
      <c r="C421" s="24"/>
      <c r="D421" s="11"/>
      <c r="E421" s="11"/>
      <c r="F421" s="351"/>
      <c r="G421" s="43"/>
      <c r="H421" s="10"/>
      <c r="I421" s="10"/>
      <c r="J421" s="10"/>
      <c r="K421" s="52"/>
      <c r="L421" s="49" t="str">
        <f t="shared" si="193"/>
        <v/>
      </c>
      <c r="M421" s="329"/>
      <c r="N421" s="329"/>
      <c r="O421" s="329"/>
      <c r="P421" s="341"/>
      <c r="Q421" s="29"/>
    </row>
    <row r="422" spans="1:17">
      <c r="A422" s="336"/>
      <c r="B422" s="334"/>
      <c r="C422" s="24"/>
      <c r="D422" s="11"/>
      <c r="E422" s="11"/>
      <c r="F422" s="351"/>
      <c r="G422" s="43"/>
      <c r="H422" s="10"/>
      <c r="I422" s="10"/>
      <c r="J422" s="10"/>
      <c r="K422" s="52"/>
      <c r="L422" s="49" t="str">
        <f t="shared" si="193"/>
        <v/>
      </c>
      <c r="M422" s="329"/>
      <c r="N422" s="329"/>
      <c r="O422" s="329"/>
      <c r="P422" s="341"/>
      <c r="Q422" s="29"/>
    </row>
    <row r="423" spans="1:17">
      <c r="A423" s="336"/>
      <c r="B423" s="334"/>
      <c r="C423" s="24"/>
      <c r="D423" s="11"/>
      <c r="E423" s="11"/>
      <c r="F423" s="351"/>
      <c r="G423" s="43"/>
      <c r="H423" s="10"/>
      <c r="I423" s="10"/>
      <c r="J423" s="10"/>
      <c r="K423" s="52"/>
      <c r="L423" s="49" t="str">
        <f t="shared" si="193"/>
        <v/>
      </c>
      <c r="M423" s="329"/>
      <c r="N423" s="329"/>
      <c r="O423" s="329"/>
      <c r="P423" s="341"/>
      <c r="Q423" s="29"/>
    </row>
    <row r="424" spans="1:17" ht="15" thickBot="1">
      <c r="A424" s="337"/>
      <c r="B424" s="327"/>
      <c r="C424" s="30"/>
      <c r="D424" s="26"/>
      <c r="E424" s="26"/>
      <c r="F424" s="352"/>
      <c r="G424" s="44"/>
      <c r="H424" s="46"/>
      <c r="I424" s="46"/>
      <c r="J424" s="46"/>
      <c r="K424" s="47"/>
      <c r="L424" s="50" t="str">
        <f>IFERROR(AVERAGE(G424:K424)/60,"")</f>
        <v/>
      </c>
      <c r="M424" s="330"/>
      <c r="N424" s="330"/>
      <c r="O424" s="330"/>
      <c r="P424" s="342"/>
      <c r="Q424" s="31"/>
    </row>
    <row r="425" spans="1:17">
      <c r="A425" s="335"/>
      <c r="B425" s="326"/>
      <c r="C425" s="27"/>
      <c r="D425" s="25"/>
      <c r="E425" s="25"/>
      <c r="F425" s="350">
        <f t="shared" ref="F425" si="194">SUM(E425:E430)</f>
        <v>0</v>
      </c>
      <c r="G425" s="42"/>
      <c r="H425" s="45"/>
      <c r="I425" s="45"/>
      <c r="J425" s="45"/>
      <c r="K425" s="51"/>
      <c r="L425" s="48" t="str">
        <f>IFERROR(AVERAGE(G425:K425)/60,"")</f>
        <v/>
      </c>
      <c r="M425" s="328">
        <f>SUM(L425:L430)</f>
        <v>0</v>
      </c>
      <c r="N425" s="328">
        <f>IFERROR(M425*1.1,"")</f>
        <v>0</v>
      </c>
      <c r="O425" s="328" t="str">
        <f>IFERROR(60/N425,"")</f>
        <v/>
      </c>
      <c r="P425" s="340" t="str">
        <f>IFERROR(SUM(E425:E430)*O425/60,"")</f>
        <v/>
      </c>
      <c r="Q425" s="28"/>
    </row>
    <row r="426" spans="1:17">
      <c r="A426" s="336"/>
      <c r="B426" s="334"/>
      <c r="C426" s="24"/>
      <c r="D426" s="11"/>
      <c r="E426" s="11"/>
      <c r="F426" s="351"/>
      <c r="G426" s="43"/>
      <c r="H426" s="10"/>
      <c r="I426" s="10"/>
      <c r="J426" s="10"/>
      <c r="K426" s="52"/>
      <c r="L426" s="49" t="str">
        <f t="shared" ref="L426:L429" si="195">IFERROR(AVERAGE(G426:K426)/60,"")</f>
        <v/>
      </c>
      <c r="M426" s="329"/>
      <c r="N426" s="329"/>
      <c r="O426" s="329"/>
      <c r="P426" s="341"/>
      <c r="Q426" s="29"/>
    </row>
    <row r="427" spans="1:17">
      <c r="A427" s="336"/>
      <c r="B427" s="334"/>
      <c r="C427" s="24"/>
      <c r="D427" s="11"/>
      <c r="E427" s="11"/>
      <c r="F427" s="351"/>
      <c r="G427" s="43"/>
      <c r="H427" s="10"/>
      <c r="I427" s="10"/>
      <c r="J427" s="10"/>
      <c r="K427" s="52"/>
      <c r="L427" s="49" t="str">
        <f t="shared" si="195"/>
        <v/>
      </c>
      <c r="M427" s="329"/>
      <c r="N427" s="329"/>
      <c r="O427" s="329"/>
      <c r="P427" s="341"/>
      <c r="Q427" s="29"/>
    </row>
    <row r="428" spans="1:17">
      <c r="A428" s="336"/>
      <c r="B428" s="334"/>
      <c r="C428" s="24"/>
      <c r="D428" s="11"/>
      <c r="E428" s="11"/>
      <c r="F428" s="351"/>
      <c r="G428" s="43"/>
      <c r="H428" s="10"/>
      <c r="I428" s="10"/>
      <c r="J428" s="10"/>
      <c r="K428" s="52"/>
      <c r="L428" s="49" t="str">
        <f t="shared" si="195"/>
        <v/>
      </c>
      <c r="M428" s="329"/>
      <c r="N428" s="329"/>
      <c r="O428" s="329"/>
      <c r="P428" s="341"/>
      <c r="Q428" s="29"/>
    </row>
    <row r="429" spans="1:17">
      <c r="A429" s="336"/>
      <c r="B429" s="334"/>
      <c r="C429" s="24"/>
      <c r="D429" s="11"/>
      <c r="E429" s="11"/>
      <c r="F429" s="351"/>
      <c r="G429" s="43"/>
      <c r="H429" s="10"/>
      <c r="I429" s="10"/>
      <c r="J429" s="10"/>
      <c r="K429" s="52"/>
      <c r="L429" s="49" t="str">
        <f t="shared" si="195"/>
        <v/>
      </c>
      <c r="M429" s="329"/>
      <c r="N429" s="329"/>
      <c r="O429" s="329"/>
      <c r="P429" s="341"/>
      <c r="Q429" s="29"/>
    </row>
    <row r="430" spans="1:17" ht="15" thickBot="1">
      <c r="A430" s="337"/>
      <c r="B430" s="327"/>
      <c r="C430" s="30"/>
      <c r="D430" s="26"/>
      <c r="E430" s="26"/>
      <c r="F430" s="352"/>
      <c r="G430" s="44"/>
      <c r="H430" s="46"/>
      <c r="I430" s="46"/>
      <c r="J430" s="46"/>
      <c r="K430" s="47"/>
      <c r="L430" s="50" t="str">
        <f>IFERROR(AVERAGE(G430:K430)/60,"")</f>
        <v/>
      </c>
      <c r="M430" s="330"/>
      <c r="N430" s="330"/>
      <c r="O430" s="330"/>
      <c r="P430" s="342"/>
      <c r="Q430" s="31"/>
    </row>
    <row r="431" spans="1:17">
      <c r="A431" s="335"/>
      <c r="B431" s="326"/>
      <c r="C431" s="27"/>
      <c r="D431" s="25"/>
      <c r="E431" s="25"/>
      <c r="F431" s="350">
        <f t="shared" ref="F431" si="196">SUM(E431:E436)</f>
        <v>0</v>
      </c>
      <c r="G431" s="42"/>
      <c r="H431" s="45"/>
      <c r="I431" s="45"/>
      <c r="J431" s="45"/>
      <c r="K431" s="51"/>
      <c r="L431" s="48" t="str">
        <f>IFERROR(AVERAGE(G431:K431)/60,"")</f>
        <v/>
      </c>
      <c r="M431" s="328">
        <f>SUM(L431:L436)</f>
        <v>0</v>
      </c>
      <c r="N431" s="328">
        <f>IFERROR(M431*1.1,"")</f>
        <v>0</v>
      </c>
      <c r="O431" s="328" t="str">
        <f>IFERROR(60/N431,"")</f>
        <v/>
      </c>
      <c r="P431" s="340" t="str">
        <f t="shared" ref="P431" si="197">IFERROR(SUM(E431:E436)*O431/60,"")</f>
        <v/>
      </c>
      <c r="Q431" s="28"/>
    </row>
    <row r="432" spans="1:17">
      <c r="A432" s="336"/>
      <c r="B432" s="334"/>
      <c r="C432" s="24"/>
      <c r="D432" s="11"/>
      <c r="E432" s="11"/>
      <c r="F432" s="351"/>
      <c r="G432" s="43"/>
      <c r="H432" s="10"/>
      <c r="I432" s="10"/>
      <c r="J432" s="10"/>
      <c r="K432" s="52"/>
      <c r="L432" s="49" t="str">
        <f t="shared" ref="L432:L435" si="198">IFERROR(AVERAGE(G432:K432)/60,"")</f>
        <v/>
      </c>
      <c r="M432" s="329"/>
      <c r="N432" s="329"/>
      <c r="O432" s="329"/>
      <c r="P432" s="341"/>
      <c r="Q432" s="29"/>
    </row>
    <row r="433" spans="1:17">
      <c r="A433" s="336"/>
      <c r="B433" s="334"/>
      <c r="C433" s="24"/>
      <c r="D433" s="11"/>
      <c r="E433" s="11"/>
      <c r="F433" s="351"/>
      <c r="G433" s="43"/>
      <c r="H433" s="10"/>
      <c r="I433" s="10"/>
      <c r="J433" s="10"/>
      <c r="K433" s="52"/>
      <c r="L433" s="49" t="str">
        <f t="shared" si="198"/>
        <v/>
      </c>
      <c r="M433" s="329"/>
      <c r="N433" s="329"/>
      <c r="O433" s="329"/>
      <c r="P433" s="341"/>
      <c r="Q433" s="29"/>
    </row>
    <row r="434" spans="1:17">
      <c r="A434" s="336"/>
      <c r="B434" s="334"/>
      <c r="C434" s="24"/>
      <c r="D434" s="11"/>
      <c r="E434" s="11"/>
      <c r="F434" s="351"/>
      <c r="G434" s="43"/>
      <c r="H434" s="10"/>
      <c r="I434" s="10"/>
      <c r="J434" s="10"/>
      <c r="K434" s="52"/>
      <c r="L434" s="49" t="str">
        <f t="shared" si="198"/>
        <v/>
      </c>
      <c r="M434" s="329"/>
      <c r="N434" s="329"/>
      <c r="O434" s="329"/>
      <c r="P434" s="341"/>
      <c r="Q434" s="29"/>
    </row>
    <row r="435" spans="1:17">
      <c r="A435" s="336"/>
      <c r="B435" s="334"/>
      <c r="C435" s="24"/>
      <c r="D435" s="11"/>
      <c r="E435" s="11"/>
      <c r="F435" s="351"/>
      <c r="G435" s="43"/>
      <c r="H435" s="10"/>
      <c r="I435" s="10"/>
      <c r="J435" s="10"/>
      <c r="K435" s="52"/>
      <c r="L435" s="49" t="str">
        <f t="shared" si="198"/>
        <v/>
      </c>
      <c r="M435" s="329"/>
      <c r="N435" s="329"/>
      <c r="O435" s="329"/>
      <c r="P435" s="341"/>
      <c r="Q435" s="29"/>
    </row>
    <row r="436" spans="1:17" ht="15" thickBot="1">
      <c r="A436" s="337"/>
      <c r="B436" s="327"/>
      <c r="C436" s="30"/>
      <c r="D436" s="26"/>
      <c r="E436" s="26"/>
      <c r="F436" s="352"/>
      <c r="G436" s="44"/>
      <c r="H436" s="46"/>
      <c r="I436" s="46"/>
      <c r="J436" s="46"/>
      <c r="K436" s="47"/>
      <c r="L436" s="50" t="str">
        <f>IFERROR(AVERAGE(G436:K436)/60,"")</f>
        <v/>
      </c>
      <c r="M436" s="330"/>
      <c r="N436" s="330"/>
      <c r="O436" s="330"/>
      <c r="P436" s="342"/>
      <c r="Q436" s="31"/>
    </row>
    <row r="437" spans="1:17">
      <c r="A437" s="335"/>
      <c r="B437" s="326"/>
      <c r="C437" s="27"/>
      <c r="D437" s="25"/>
      <c r="E437" s="25"/>
      <c r="F437" s="350">
        <f t="shared" ref="F437" si="199">SUM(E437:E442)</f>
        <v>0</v>
      </c>
      <c r="G437" s="42"/>
      <c r="H437" s="45"/>
      <c r="I437" s="45"/>
      <c r="J437" s="45"/>
      <c r="K437" s="51"/>
      <c r="L437" s="48" t="str">
        <f>IFERROR(AVERAGE(G437:K437)/60,"")</f>
        <v/>
      </c>
      <c r="M437" s="328">
        <f>SUM(L437:L442)</f>
        <v>0</v>
      </c>
      <c r="N437" s="328">
        <f>IFERROR(M437*1.1,"")</f>
        <v>0</v>
      </c>
      <c r="O437" s="328" t="str">
        <f>IFERROR(60/N437,"")</f>
        <v/>
      </c>
      <c r="P437" s="340" t="str">
        <f t="shared" ref="P437" si="200">IFERROR(SUM(E437:E442)*O437/60,"")</f>
        <v/>
      </c>
      <c r="Q437" s="28"/>
    </row>
    <row r="438" spans="1:17">
      <c r="A438" s="336"/>
      <c r="B438" s="334"/>
      <c r="C438" s="24"/>
      <c r="D438" s="11"/>
      <c r="E438" s="11"/>
      <c r="F438" s="351"/>
      <c r="G438" s="43"/>
      <c r="H438" s="10"/>
      <c r="I438" s="10"/>
      <c r="J438" s="10"/>
      <c r="K438" s="52"/>
      <c r="L438" s="49" t="str">
        <f t="shared" ref="L438:L441" si="201">IFERROR(AVERAGE(G438:K438)/60,"")</f>
        <v/>
      </c>
      <c r="M438" s="329"/>
      <c r="N438" s="329"/>
      <c r="O438" s="329"/>
      <c r="P438" s="341"/>
      <c r="Q438" s="29"/>
    </row>
    <row r="439" spans="1:17">
      <c r="A439" s="336"/>
      <c r="B439" s="334"/>
      <c r="C439" s="24"/>
      <c r="D439" s="11"/>
      <c r="E439" s="11"/>
      <c r="F439" s="351"/>
      <c r="G439" s="43"/>
      <c r="H439" s="10"/>
      <c r="I439" s="10"/>
      <c r="J439" s="10"/>
      <c r="K439" s="52"/>
      <c r="L439" s="49" t="str">
        <f t="shared" si="201"/>
        <v/>
      </c>
      <c r="M439" s="329"/>
      <c r="N439" s="329"/>
      <c r="O439" s="329"/>
      <c r="P439" s="341"/>
      <c r="Q439" s="29"/>
    </row>
    <row r="440" spans="1:17">
      <c r="A440" s="336"/>
      <c r="B440" s="334"/>
      <c r="C440" s="24"/>
      <c r="D440" s="11"/>
      <c r="E440" s="11"/>
      <c r="F440" s="351"/>
      <c r="G440" s="43"/>
      <c r="H440" s="10"/>
      <c r="I440" s="10"/>
      <c r="J440" s="10"/>
      <c r="K440" s="52"/>
      <c r="L440" s="49" t="str">
        <f t="shared" si="201"/>
        <v/>
      </c>
      <c r="M440" s="329"/>
      <c r="N440" s="329"/>
      <c r="O440" s="329"/>
      <c r="P440" s="341"/>
      <c r="Q440" s="29"/>
    </row>
    <row r="441" spans="1:17">
      <c r="A441" s="336"/>
      <c r="B441" s="334"/>
      <c r="C441" s="24"/>
      <c r="D441" s="11"/>
      <c r="E441" s="11"/>
      <c r="F441" s="351"/>
      <c r="G441" s="43"/>
      <c r="H441" s="10"/>
      <c r="I441" s="10"/>
      <c r="J441" s="10"/>
      <c r="K441" s="52"/>
      <c r="L441" s="49" t="str">
        <f t="shared" si="201"/>
        <v/>
      </c>
      <c r="M441" s="329"/>
      <c r="N441" s="329"/>
      <c r="O441" s="329"/>
      <c r="P441" s="341"/>
      <c r="Q441" s="29"/>
    </row>
    <row r="442" spans="1:17" ht="15" thickBot="1">
      <c r="A442" s="337"/>
      <c r="B442" s="327"/>
      <c r="C442" s="30"/>
      <c r="D442" s="26"/>
      <c r="E442" s="26"/>
      <c r="F442" s="352"/>
      <c r="G442" s="44"/>
      <c r="H442" s="46"/>
      <c r="I442" s="46"/>
      <c r="J442" s="46"/>
      <c r="K442" s="47"/>
      <c r="L442" s="50" t="str">
        <f>IFERROR(AVERAGE(G442:K442)/60,"")</f>
        <v/>
      </c>
      <c r="M442" s="330"/>
      <c r="N442" s="330"/>
      <c r="O442" s="330"/>
      <c r="P442" s="342"/>
      <c r="Q442" s="31"/>
    </row>
    <row r="443" spans="1:17">
      <c r="A443" s="335"/>
      <c r="B443" s="326"/>
      <c r="C443" s="27"/>
      <c r="D443" s="25"/>
      <c r="E443" s="25"/>
      <c r="F443" s="350">
        <f t="shared" ref="F443" si="202">SUM(E443:E448)</f>
        <v>0</v>
      </c>
      <c r="G443" s="42"/>
      <c r="H443" s="45"/>
      <c r="I443" s="45"/>
      <c r="J443" s="45"/>
      <c r="K443" s="51"/>
      <c r="L443" s="48" t="str">
        <f>IFERROR(AVERAGE(G443:K443)/60,"")</f>
        <v/>
      </c>
      <c r="M443" s="328">
        <f>SUM(L443:L448)</f>
        <v>0</v>
      </c>
      <c r="N443" s="328">
        <f>IFERROR(M443*1.1,"")</f>
        <v>0</v>
      </c>
      <c r="O443" s="328" t="str">
        <f>IFERROR(60/N443,"")</f>
        <v/>
      </c>
      <c r="P443" s="340" t="str">
        <f t="shared" ref="P443" si="203">IFERROR(SUM(E443:E448)*O443/60,"")</f>
        <v/>
      </c>
      <c r="Q443" s="28"/>
    </row>
    <row r="444" spans="1:17">
      <c r="A444" s="336"/>
      <c r="B444" s="334"/>
      <c r="C444" s="24"/>
      <c r="D444" s="11"/>
      <c r="E444" s="11"/>
      <c r="F444" s="351"/>
      <c r="G444" s="43"/>
      <c r="H444" s="10"/>
      <c r="I444" s="10"/>
      <c r="J444" s="10"/>
      <c r="K444" s="52"/>
      <c r="L444" s="49" t="str">
        <f t="shared" ref="L444:L447" si="204">IFERROR(AVERAGE(G444:K444)/60,"")</f>
        <v/>
      </c>
      <c r="M444" s="329"/>
      <c r="N444" s="329"/>
      <c r="O444" s="329"/>
      <c r="P444" s="341"/>
      <c r="Q444" s="29"/>
    </row>
    <row r="445" spans="1:17">
      <c r="A445" s="336"/>
      <c r="B445" s="334"/>
      <c r="C445" s="24"/>
      <c r="D445" s="11"/>
      <c r="E445" s="11"/>
      <c r="F445" s="351"/>
      <c r="G445" s="43"/>
      <c r="H445" s="10"/>
      <c r="I445" s="10"/>
      <c r="J445" s="10"/>
      <c r="K445" s="52"/>
      <c r="L445" s="49" t="str">
        <f t="shared" si="204"/>
        <v/>
      </c>
      <c r="M445" s="329"/>
      <c r="N445" s="329"/>
      <c r="O445" s="329"/>
      <c r="P445" s="341"/>
      <c r="Q445" s="29"/>
    </row>
    <row r="446" spans="1:17">
      <c r="A446" s="336"/>
      <c r="B446" s="334"/>
      <c r="C446" s="24"/>
      <c r="D446" s="11"/>
      <c r="E446" s="11"/>
      <c r="F446" s="351"/>
      <c r="G446" s="43"/>
      <c r="H446" s="10"/>
      <c r="I446" s="10"/>
      <c r="J446" s="10"/>
      <c r="K446" s="52"/>
      <c r="L446" s="49" t="str">
        <f t="shared" si="204"/>
        <v/>
      </c>
      <c r="M446" s="329"/>
      <c r="N446" s="329"/>
      <c r="O446" s="329"/>
      <c r="P446" s="341"/>
      <c r="Q446" s="29"/>
    </row>
    <row r="447" spans="1:17">
      <c r="A447" s="336"/>
      <c r="B447" s="334"/>
      <c r="C447" s="24"/>
      <c r="D447" s="11"/>
      <c r="E447" s="11"/>
      <c r="F447" s="351"/>
      <c r="G447" s="43"/>
      <c r="H447" s="10"/>
      <c r="I447" s="10"/>
      <c r="J447" s="10"/>
      <c r="K447" s="52"/>
      <c r="L447" s="49" t="str">
        <f t="shared" si="204"/>
        <v/>
      </c>
      <c r="M447" s="329"/>
      <c r="N447" s="329"/>
      <c r="O447" s="329"/>
      <c r="P447" s="341"/>
      <c r="Q447" s="29"/>
    </row>
    <row r="448" spans="1:17" ht="15" thickBot="1">
      <c r="A448" s="337"/>
      <c r="B448" s="327"/>
      <c r="C448" s="30"/>
      <c r="D448" s="26"/>
      <c r="E448" s="26"/>
      <c r="F448" s="352"/>
      <c r="G448" s="44"/>
      <c r="H448" s="46"/>
      <c r="I448" s="46"/>
      <c r="J448" s="46"/>
      <c r="K448" s="47"/>
      <c r="L448" s="50" t="str">
        <f>IFERROR(AVERAGE(G448:K448)/60,"")</f>
        <v/>
      </c>
      <c r="M448" s="330"/>
      <c r="N448" s="330"/>
      <c r="O448" s="330"/>
      <c r="P448" s="342"/>
      <c r="Q448" s="31"/>
    </row>
    <row r="449" spans="1:17">
      <c r="A449" s="335"/>
      <c r="B449" s="326"/>
      <c r="C449" s="27"/>
      <c r="D449" s="25"/>
      <c r="E449" s="25"/>
      <c r="F449" s="350">
        <f t="shared" ref="F449" si="205">SUM(E449:E454)</f>
        <v>0</v>
      </c>
      <c r="G449" s="42"/>
      <c r="H449" s="45"/>
      <c r="I449" s="45"/>
      <c r="J449" s="45"/>
      <c r="K449" s="51"/>
      <c r="L449" s="48" t="str">
        <f>IFERROR(AVERAGE(G449:K449)/60,"")</f>
        <v/>
      </c>
      <c r="M449" s="328">
        <f>SUM(L449:L454)</f>
        <v>0</v>
      </c>
      <c r="N449" s="328">
        <f>IFERROR(M449*1.1,"")</f>
        <v>0</v>
      </c>
      <c r="O449" s="328" t="str">
        <f>IFERROR(60/N449,"")</f>
        <v/>
      </c>
      <c r="P449" s="340" t="str">
        <f t="shared" ref="P449" si="206">IFERROR(SUM(E449:E454)*O449/60,"")</f>
        <v/>
      </c>
      <c r="Q449" s="28"/>
    </row>
    <row r="450" spans="1:17">
      <c r="A450" s="336"/>
      <c r="B450" s="334"/>
      <c r="C450" s="24"/>
      <c r="D450" s="11"/>
      <c r="E450" s="11"/>
      <c r="F450" s="351"/>
      <c r="G450" s="43"/>
      <c r="H450" s="10"/>
      <c r="I450" s="10"/>
      <c r="J450" s="10"/>
      <c r="K450" s="52"/>
      <c r="L450" s="49" t="str">
        <f t="shared" ref="L450:L453" si="207">IFERROR(AVERAGE(G450:K450)/60,"")</f>
        <v/>
      </c>
      <c r="M450" s="329"/>
      <c r="N450" s="329"/>
      <c r="O450" s="329"/>
      <c r="P450" s="341"/>
      <c r="Q450" s="29"/>
    </row>
    <row r="451" spans="1:17">
      <c r="A451" s="336"/>
      <c r="B451" s="334"/>
      <c r="C451" s="24"/>
      <c r="D451" s="11"/>
      <c r="E451" s="11"/>
      <c r="F451" s="351"/>
      <c r="G451" s="43"/>
      <c r="H451" s="10"/>
      <c r="I451" s="10"/>
      <c r="J451" s="10"/>
      <c r="K451" s="52"/>
      <c r="L451" s="49" t="str">
        <f t="shared" si="207"/>
        <v/>
      </c>
      <c r="M451" s="329"/>
      <c r="N451" s="329"/>
      <c r="O451" s="329"/>
      <c r="P451" s="341"/>
      <c r="Q451" s="29"/>
    </row>
    <row r="452" spans="1:17">
      <c r="A452" s="336"/>
      <c r="B452" s="334"/>
      <c r="C452" s="24"/>
      <c r="D452" s="11"/>
      <c r="E452" s="11"/>
      <c r="F452" s="351"/>
      <c r="G452" s="43"/>
      <c r="H452" s="10"/>
      <c r="I452" s="10"/>
      <c r="J452" s="10"/>
      <c r="K452" s="52"/>
      <c r="L452" s="49" t="str">
        <f t="shared" si="207"/>
        <v/>
      </c>
      <c r="M452" s="329"/>
      <c r="N452" s="329"/>
      <c r="O452" s="329"/>
      <c r="P452" s="341"/>
      <c r="Q452" s="29"/>
    </row>
    <row r="453" spans="1:17">
      <c r="A453" s="336"/>
      <c r="B453" s="334"/>
      <c r="C453" s="24"/>
      <c r="D453" s="11"/>
      <c r="E453" s="11"/>
      <c r="F453" s="351"/>
      <c r="G453" s="43"/>
      <c r="H453" s="10"/>
      <c r="I453" s="10"/>
      <c r="J453" s="10"/>
      <c r="K453" s="52"/>
      <c r="L453" s="49" t="str">
        <f t="shared" si="207"/>
        <v/>
      </c>
      <c r="M453" s="329"/>
      <c r="N453" s="329"/>
      <c r="O453" s="329"/>
      <c r="P453" s="341"/>
      <c r="Q453" s="29"/>
    </row>
    <row r="454" spans="1:17" ht="15" thickBot="1">
      <c r="A454" s="337"/>
      <c r="B454" s="327"/>
      <c r="C454" s="30"/>
      <c r="D454" s="26"/>
      <c r="E454" s="26"/>
      <c r="F454" s="352"/>
      <c r="G454" s="44"/>
      <c r="H454" s="46"/>
      <c r="I454" s="46"/>
      <c r="J454" s="46"/>
      <c r="K454" s="47"/>
      <c r="L454" s="50" t="str">
        <f>IFERROR(AVERAGE(G454:K454)/60,"")</f>
        <v/>
      </c>
      <c r="M454" s="330"/>
      <c r="N454" s="330"/>
      <c r="O454" s="330"/>
      <c r="P454" s="342"/>
      <c r="Q454" s="31"/>
    </row>
    <row r="455" spans="1:17">
      <c r="A455" s="335"/>
      <c r="B455" s="326"/>
      <c r="C455" s="27"/>
      <c r="D455" s="25"/>
      <c r="E455" s="25"/>
      <c r="F455" s="350">
        <f t="shared" ref="F455" si="208">SUM(E455:E460)</f>
        <v>0</v>
      </c>
      <c r="G455" s="42"/>
      <c r="H455" s="45"/>
      <c r="I455" s="45"/>
      <c r="J455" s="45"/>
      <c r="K455" s="51"/>
      <c r="L455" s="48" t="str">
        <f>IFERROR(AVERAGE(G455:K455)/60,"")</f>
        <v/>
      </c>
      <c r="M455" s="328">
        <f>SUM(L455:L460)</f>
        <v>0</v>
      </c>
      <c r="N455" s="328">
        <f>IFERROR(M455*1.1,"")</f>
        <v>0</v>
      </c>
      <c r="O455" s="328" t="str">
        <f>IFERROR(60/N455,"")</f>
        <v/>
      </c>
      <c r="P455" s="340" t="str">
        <f>IFERROR(SUM(E455:E460)*O455/60,"")</f>
        <v/>
      </c>
      <c r="Q455" s="28"/>
    </row>
    <row r="456" spans="1:17">
      <c r="A456" s="336"/>
      <c r="B456" s="334"/>
      <c r="C456" s="24"/>
      <c r="D456" s="11"/>
      <c r="E456" s="11"/>
      <c r="F456" s="351"/>
      <c r="G456" s="43"/>
      <c r="H456" s="10"/>
      <c r="I456" s="10"/>
      <c r="J456" s="10"/>
      <c r="K456" s="52"/>
      <c r="L456" s="49" t="str">
        <f t="shared" ref="L456:L459" si="209">IFERROR(AVERAGE(G456:K456)/60,"")</f>
        <v/>
      </c>
      <c r="M456" s="329"/>
      <c r="N456" s="329"/>
      <c r="O456" s="329"/>
      <c r="P456" s="341"/>
      <c r="Q456" s="29"/>
    </row>
    <row r="457" spans="1:17">
      <c r="A457" s="336"/>
      <c r="B457" s="334"/>
      <c r="C457" s="24"/>
      <c r="D457" s="11"/>
      <c r="E457" s="11"/>
      <c r="F457" s="351"/>
      <c r="G457" s="43"/>
      <c r="H457" s="10"/>
      <c r="I457" s="10"/>
      <c r="J457" s="10"/>
      <c r="K457" s="52"/>
      <c r="L457" s="49" t="str">
        <f t="shared" si="209"/>
        <v/>
      </c>
      <c r="M457" s="329"/>
      <c r="N457" s="329"/>
      <c r="O457" s="329"/>
      <c r="P457" s="341"/>
      <c r="Q457" s="29"/>
    </row>
    <row r="458" spans="1:17">
      <c r="A458" s="336"/>
      <c r="B458" s="334"/>
      <c r="C458" s="24"/>
      <c r="D458" s="11"/>
      <c r="E458" s="11"/>
      <c r="F458" s="351"/>
      <c r="G458" s="43"/>
      <c r="H458" s="10"/>
      <c r="I458" s="10"/>
      <c r="J458" s="10"/>
      <c r="K458" s="52"/>
      <c r="L458" s="49" t="str">
        <f t="shared" si="209"/>
        <v/>
      </c>
      <c r="M458" s="329"/>
      <c r="N458" s="329"/>
      <c r="O458" s="329"/>
      <c r="P458" s="341"/>
      <c r="Q458" s="29"/>
    </row>
    <row r="459" spans="1:17">
      <c r="A459" s="336"/>
      <c r="B459" s="334"/>
      <c r="C459" s="24"/>
      <c r="D459" s="11"/>
      <c r="E459" s="11"/>
      <c r="F459" s="351"/>
      <c r="G459" s="43"/>
      <c r="H459" s="10"/>
      <c r="I459" s="10"/>
      <c r="J459" s="10"/>
      <c r="K459" s="52"/>
      <c r="L459" s="49" t="str">
        <f t="shared" si="209"/>
        <v/>
      </c>
      <c r="M459" s="329"/>
      <c r="N459" s="329"/>
      <c r="O459" s="329"/>
      <c r="P459" s="341"/>
      <c r="Q459" s="29"/>
    </row>
    <row r="460" spans="1:17" ht="15" thickBot="1">
      <c r="A460" s="337"/>
      <c r="B460" s="327"/>
      <c r="C460" s="30"/>
      <c r="D460" s="26"/>
      <c r="E460" s="26"/>
      <c r="F460" s="352"/>
      <c r="G460" s="44"/>
      <c r="H460" s="46"/>
      <c r="I460" s="46"/>
      <c r="J460" s="46"/>
      <c r="K460" s="47"/>
      <c r="L460" s="50" t="str">
        <f>IFERROR(AVERAGE(G460:K460)/60,"")</f>
        <v/>
      </c>
      <c r="M460" s="330"/>
      <c r="N460" s="330"/>
      <c r="O460" s="330"/>
      <c r="P460" s="342"/>
      <c r="Q460" s="31"/>
    </row>
    <row r="461" spans="1:17">
      <c r="A461" s="335"/>
      <c r="B461" s="326"/>
      <c r="C461" s="27"/>
      <c r="D461" s="25"/>
      <c r="E461" s="25"/>
      <c r="F461" s="350">
        <f t="shared" ref="F461" si="210">SUM(E461:E466)</f>
        <v>0</v>
      </c>
      <c r="G461" s="42"/>
      <c r="H461" s="45"/>
      <c r="I461" s="45"/>
      <c r="J461" s="45"/>
      <c r="K461" s="51"/>
      <c r="L461" s="48" t="str">
        <f>IFERROR(AVERAGE(G461:K461)/60,"")</f>
        <v/>
      </c>
      <c r="M461" s="328">
        <f>SUM(L461:L466)</f>
        <v>0</v>
      </c>
      <c r="N461" s="328">
        <f>IFERROR(M461*1.1,"")</f>
        <v>0</v>
      </c>
      <c r="O461" s="328" t="str">
        <f>IFERROR(60/N461,"")</f>
        <v/>
      </c>
      <c r="P461" s="340" t="str">
        <f t="shared" ref="P461" si="211">IFERROR(SUM(E461:E466)*O461/60,"")</f>
        <v/>
      </c>
      <c r="Q461" s="28"/>
    </row>
    <row r="462" spans="1:17">
      <c r="A462" s="336"/>
      <c r="B462" s="334"/>
      <c r="C462" s="24"/>
      <c r="D462" s="11"/>
      <c r="E462" s="11"/>
      <c r="F462" s="351"/>
      <c r="G462" s="43"/>
      <c r="H462" s="10"/>
      <c r="I462" s="10"/>
      <c r="J462" s="10"/>
      <c r="K462" s="52"/>
      <c r="L462" s="49" t="str">
        <f t="shared" ref="L462:L465" si="212">IFERROR(AVERAGE(G462:K462)/60,"")</f>
        <v/>
      </c>
      <c r="M462" s="329"/>
      <c r="N462" s="329"/>
      <c r="O462" s="329"/>
      <c r="P462" s="341"/>
      <c r="Q462" s="29"/>
    </row>
    <row r="463" spans="1:17">
      <c r="A463" s="336"/>
      <c r="B463" s="334"/>
      <c r="C463" s="24"/>
      <c r="D463" s="11"/>
      <c r="E463" s="11"/>
      <c r="F463" s="351"/>
      <c r="G463" s="43"/>
      <c r="H463" s="10"/>
      <c r="I463" s="10"/>
      <c r="J463" s="10"/>
      <c r="K463" s="52"/>
      <c r="L463" s="49" t="str">
        <f t="shared" si="212"/>
        <v/>
      </c>
      <c r="M463" s="329"/>
      <c r="N463" s="329"/>
      <c r="O463" s="329"/>
      <c r="P463" s="341"/>
      <c r="Q463" s="29"/>
    </row>
    <row r="464" spans="1:17">
      <c r="A464" s="336"/>
      <c r="B464" s="334"/>
      <c r="C464" s="24"/>
      <c r="D464" s="11"/>
      <c r="E464" s="11"/>
      <c r="F464" s="351"/>
      <c r="G464" s="43"/>
      <c r="H464" s="10"/>
      <c r="I464" s="10"/>
      <c r="J464" s="10"/>
      <c r="K464" s="52"/>
      <c r="L464" s="49" t="str">
        <f t="shared" si="212"/>
        <v/>
      </c>
      <c r="M464" s="329"/>
      <c r="N464" s="329"/>
      <c r="O464" s="329"/>
      <c r="P464" s="341"/>
      <c r="Q464" s="29"/>
    </row>
    <row r="465" spans="1:17">
      <c r="A465" s="336"/>
      <c r="B465" s="334"/>
      <c r="C465" s="24"/>
      <c r="D465" s="11"/>
      <c r="E465" s="11"/>
      <c r="F465" s="351"/>
      <c r="G465" s="43"/>
      <c r="H465" s="10"/>
      <c r="I465" s="10"/>
      <c r="J465" s="10"/>
      <c r="K465" s="52"/>
      <c r="L465" s="49" t="str">
        <f t="shared" si="212"/>
        <v/>
      </c>
      <c r="M465" s="329"/>
      <c r="N465" s="329"/>
      <c r="O465" s="329"/>
      <c r="P465" s="341"/>
      <c r="Q465" s="29"/>
    </row>
    <row r="466" spans="1:17" ht="15" thickBot="1">
      <c r="A466" s="337"/>
      <c r="B466" s="327"/>
      <c r="C466" s="30"/>
      <c r="D466" s="26"/>
      <c r="E466" s="26"/>
      <c r="F466" s="352"/>
      <c r="G466" s="44"/>
      <c r="H466" s="46"/>
      <c r="I466" s="46"/>
      <c r="J466" s="46"/>
      <c r="K466" s="47"/>
      <c r="L466" s="50" t="str">
        <f>IFERROR(AVERAGE(G466:K466)/60,"")</f>
        <v/>
      </c>
      <c r="M466" s="330"/>
      <c r="N466" s="330"/>
      <c r="O466" s="330"/>
      <c r="P466" s="342"/>
      <c r="Q466" s="31"/>
    </row>
    <row r="467" spans="1:17">
      <c r="A467" s="335"/>
      <c r="B467" s="326"/>
      <c r="C467" s="27"/>
      <c r="D467" s="25"/>
      <c r="E467" s="25"/>
      <c r="F467" s="350">
        <f t="shared" ref="F467" si="213">SUM(E467:E472)</f>
        <v>0</v>
      </c>
      <c r="G467" s="42"/>
      <c r="H467" s="45"/>
      <c r="I467" s="45"/>
      <c r="J467" s="45"/>
      <c r="K467" s="51"/>
      <c r="L467" s="48" t="str">
        <f>IFERROR(AVERAGE(G467:K467)/60,"")</f>
        <v/>
      </c>
      <c r="M467" s="328">
        <f>SUM(L467:L472)</f>
        <v>0</v>
      </c>
      <c r="N467" s="328">
        <f>IFERROR(M467*1.1,"")</f>
        <v>0</v>
      </c>
      <c r="O467" s="328" t="str">
        <f>IFERROR(60/N467,"")</f>
        <v/>
      </c>
      <c r="P467" s="340" t="str">
        <f t="shared" ref="P467" si="214">IFERROR(SUM(E467:E472)*O467/60,"")</f>
        <v/>
      </c>
      <c r="Q467" s="28"/>
    </row>
    <row r="468" spans="1:17">
      <c r="A468" s="336"/>
      <c r="B468" s="334"/>
      <c r="C468" s="24"/>
      <c r="D468" s="11"/>
      <c r="E468" s="11"/>
      <c r="F468" s="351"/>
      <c r="G468" s="43"/>
      <c r="H468" s="10"/>
      <c r="I468" s="10"/>
      <c r="J468" s="10"/>
      <c r="K468" s="52"/>
      <c r="L468" s="49" t="str">
        <f t="shared" ref="L468:L471" si="215">IFERROR(AVERAGE(G468:K468)/60,"")</f>
        <v/>
      </c>
      <c r="M468" s="329"/>
      <c r="N468" s="329"/>
      <c r="O468" s="329"/>
      <c r="P468" s="341"/>
      <c r="Q468" s="29"/>
    </row>
    <row r="469" spans="1:17">
      <c r="A469" s="336"/>
      <c r="B469" s="334"/>
      <c r="C469" s="24"/>
      <c r="D469" s="11"/>
      <c r="E469" s="11"/>
      <c r="F469" s="351"/>
      <c r="G469" s="43"/>
      <c r="H469" s="10"/>
      <c r="I469" s="10"/>
      <c r="J469" s="10"/>
      <c r="K469" s="52"/>
      <c r="L469" s="49" t="str">
        <f t="shared" si="215"/>
        <v/>
      </c>
      <c r="M469" s="329"/>
      <c r="N469" s="329"/>
      <c r="O469" s="329"/>
      <c r="P469" s="341"/>
      <c r="Q469" s="29"/>
    </row>
    <row r="470" spans="1:17">
      <c r="A470" s="336"/>
      <c r="B470" s="334"/>
      <c r="C470" s="24"/>
      <c r="D470" s="11"/>
      <c r="E470" s="11"/>
      <c r="F470" s="351"/>
      <c r="G470" s="43"/>
      <c r="H470" s="10"/>
      <c r="I470" s="10"/>
      <c r="J470" s="10"/>
      <c r="K470" s="52"/>
      <c r="L470" s="49" t="str">
        <f t="shared" si="215"/>
        <v/>
      </c>
      <c r="M470" s="329"/>
      <c r="N470" s="329"/>
      <c r="O470" s="329"/>
      <c r="P470" s="341"/>
      <c r="Q470" s="29"/>
    </row>
    <row r="471" spans="1:17">
      <c r="A471" s="336"/>
      <c r="B471" s="334"/>
      <c r="C471" s="24"/>
      <c r="D471" s="11"/>
      <c r="E471" s="11"/>
      <c r="F471" s="351"/>
      <c r="G471" s="43"/>
      <c r="H471" s="10"/>
      <c r="I471" s="10"/>
      <c r="J471" s="10"/>
      <c r="K471" s="52"/>
      <c r="L471" s="49" t="str">
        <f t="shared" si="215"/>
        <v/>
      </c>
      <c r="M471" s="329"/>
      <c r="N471" s="329"/>
      <c r="O471" s="329"/>
      <c r="P471" s="341"/>
      <c r="Q471" s="29"/>
    </row>
    <row r="472" spans="1:17" ht="15" thickBot="1">
      <c r="A472" s="337"/>
      <c r="B472" s="327"/>
      <c r="C472" s="30"/>
      <c r="D472" s="26"/>
      <c r="E472" s="26"/>
      <c r="F472" s="352"/>
      <c r="G472" s="44"/>
      <c r="H472" s="46"/>
      <c r="I472" s="46"/>
      <c r="J472" s="46"/>
      <c r="K472" s="47"/>
      <c r="L472" s="50" t="str">
        <f>IFERROR(AVERAGE(G472:K472)/60,"")</f>
        <v/>
      </c>
      <c r="M472" s="330"/>
      <c r="N472" s="330"/>
      <c r="O472" s="330"/>
      <c r="P472" s="342"/>
      <c r="Q472" s="31"/>
    </row>
    <row r="473" spans="1:17">
      <c r="A473" s="335"/>
      <c r="B473" s="326"/>
      <c r="C473" s="27"/>
      <c r="D473" s="25"/>
      <c r="E473" s="25"/>
      <c r="F473" s="350">
        <f t="shared" ref="F473" si="216">SUM(E473:E478)</f>
        <v>0</v>
      </c>
      <c r="G473" s="42"/>
      <c r="H473" s="45"/>
      <c r="I473" s="45"/>
      <c r="J473" s="45"/>
      <c r="K473" s="51"/>
      <c r="L473" s="48" t="str">
        <f>IFERROR(AVERAGE(G473:K473)/60,"")</f>
        <v/>
      </c>
      <c r="M473" s="328">
        <f>SUM(L473:L478)</f>
        <v>0</v>
      </c>
      <c r="N473" s="328">
        <f>IFERROR(M473*1.1,"")</f>
        <v>0</v>
      </c>
      <c r="O473" s="328" t="str">
        <f>IFERROR(60/N473,"")</f>
        <v/>
      </c>
      <c r="P473" s="340" t="str">
        <f t="shared" ref="P473" si="217">IFERROR(SUM(E473:E478)*O473/60,"")</f>
        <v/>
      </c>
      <c r="Q473" s="28"/>
    </row>
    <row r="474" spans="1:17">
      <c r="A474" s="336"/>
      <c r="B474" s="334"/>
      <c r="C474" s="24"/>
      <c r="D474" s="11"/>
      <c r="E474" s="11"/>
      <c r="F474" s="351"/>
      <c r="G474" s="43"/>
      <c r="H474" s="10"/>
      <c r="I474" s="10"/>
      <c r="J474" s="10"/>
      <c r="K474" s="52"/>
      <c r="L474" s="49" t="str">
        <f t="shared" ref="L474:L477" si="218">IFERROR(AVERAGE(G474:K474)/60,"")</f>
        <v/>
      </c>
      <c r="M474" s="329"/>
      <c r="N474" s="329"/>
      <c r="O474" s="329"/>
      <c r="P474" s="341"/>
      <c r="Q474" s="29"/>
    </row>
    <row r="475" spans="1:17">
      <c r="A475" s="336"/>
      <c r="B475" s="334"/>
      <c r="C475" s="24"/>
      <c r="D475" s="11"/>
      <c r="E475" s="11"/>
      <c r="F475" s="351"/>
      <c r="G475" s="43"/>
      <c r="H475" s="10"/>
      <c r="I475" s="10"/>
      <c r="J475" s="10"/>
      <c r="K475" s="52"/>
      <c r="L475" s="49" t="str">
        <f t="shared" si="218"/>
        <v/>
      </c>
      <c r="M475" s="329"/>
      <c r="N475" s="329"/>
      <c r="O475" s="329"/>
      <c r="P475" s="341"/>
      <c r="Q475" s="29"/>
    </row>
    <row r="476" spans="1:17">
      <c r="A476" s="336"/>
      <c r="B476" s="334"/>
      <c r="C476" s="24"/>
      <c r="D476" s="11"/>
      <c r="E476" s="11"/>
      <c r="F476" s="351"/>
      <c r="G476" s="43"/>
      <c r="H476" s="10"/>
      <c r="I476" s="10"/>
      <c r="J476" s="10"/>
      <c r="K476" s="52"/>
      <c r="L476" s="49" t="str">
        <f t="shared" si="218"/>
        <v/>
      </c>
      <c r="M476" s="329"/>
      <c r="N476" s="329"/>
      <c r="O476" s="329"/>
      <c r="P476" s="341"/>
      <c r="Q476" s="29"/>
    </row>
    <row r="477" spans="1:17">
      <c r="A477" s="336"/>
      <c r="B477" s="334"/>
      <c r="C477" s="24"/>
      <c r="D477" s="11"/>
      <c r="E477" s="11"/>
      <c r="F477" s="351"/>
      <c r="G477" s="43"/>
      <c r="H477" s="10"/>
      <c r="I477" s="10"/>
      <c r="J477" s="10"/>
      <c r="K477" s="52"/>
      <c r="L477" s="49" t="str">
        <f t="shared" si="218"/>
        <v/>
      </c>
      <c r="M477" s="329"/>
      <c r="N477" s="329"/>
      <c r="O477" s="329"/>
      <c r="P477" s="341"/>
      <c r="Q477" s="29"/>
    </row>
    <row r="478" spans="1:17" ht="15" thickBot="1">
      <c r="A478" s="337"/>
      <c r="B478" s="327"/>
      <c r="C478" s="30"/>
      <c r="D478" s="26"/>
      <c r="E478" s="26"/>
      <c r="F478" s="352"/>
      <c r="G478" s="44"/>
      <c r="H478" s="46"/>
      <c r="I478" s="46"/>
      <c r="J478" s="46"/>
      <c r="K478" s="47"/>
      <c r="L478" s="50" t="str">
        <f>IFERROR(AVERAGE(G478:K478)/60,"")</f>
        <v/>
      </c>
      <c r="M478" s="330"/>
      <c r="N478" s="330"/>
      <c r="O478" s="330"/>
      <c r="P478" s="342"/>
      <c r="Q478" s="31"/>
    </row>
    <row r="479" spans="1:17">
      <c r="A479" s="335"/>
      <c r="B479" s="326"/>
      <c r="C479" s="27"/>
      <c r="D479" s="25"/>
      <c r="E479" s="25"/>
      <c r="F479" s="350">
        <f t="shared" ref="F479" si="219">SUM(E479:E484)</f>
        <v>0</v>
      </c>
      <c r="G479" s="42"/>
      <c r="H479" s="45"/>
      <c r="I479" s="45"/>
      <c r="J479" s="45"/>
      <c r="K479" s="51"/>
      <c r="L479" s="48" t="str">
        <f>IFERROR(AVERAGE(G479:K479)/60,"")</f>
        <v/>
      </c>
      <c r="M479" s="328">
        <f>SUM(L479:L484)</f>
        <v>0</v>
      </c>
      <c r="N479" s="328">
        <f>IFERROR(M479*1.1,"")</f>
        <v>0</v>
      </c>
      <c r="O479" s="328" t="str">
        <f>IFERROR(60/N479,"")</f>
        <v/>
      </c>
      <c r="P479" s="340" t="str">
        <f t="shared" ref="P479" si="220">IFERROR(SUM(E479:E484)*O479/60,"")</f>
        <v/>
      </c>
      <c r="Q479" s="28"/>
    </row>
    <row r="480" spans="1:17">
      <c r="A480" s="336"/>
      <c r="B480" s="334"/>
      <c r="C480" s="24"/>
      <c r="D480" s="11"/>
      <c r="E480" s="11"/>
      <c r="F480" s="351"/>
      <c r="G480" s="43"/>
      <c r="H480" s="10"/>
      <c r="I480" s="10"/>
      <c r="J480" s="10"/>
      <c r="K480" s="52"/>
      <c r="L480" s="49" t="str">
        <f t="shared" ref="L480:L483" si="221">IFERROR(AVERAGE(G480:K480)/60,"")</f>
        <v/>
      </c>
      <c r="M480" s="329"/>
      <c r="N480" s="329"/>
      <c r="O480" s="329"/>
      <c r="P480" s="341"/>
      <c r="Q480" s="29"/>
    </row>
    <row r="481" spans="1:17">
      <c r="A481" s="336"/>
      <c r="B481" s="334"/>
      <c r="C481" s="24"/>
      <c r="D481" s="11"/>
      <c r="E481" s="11"/>
      <c r="F481" s="351"/>
      <c r="G481" s="43"/>
      <c r="H481" s="10"/>
      <c r="I481" s="10"/>
      <c r="J481" s="10"/>
      <c r="K481" s="52"/>
      <c r="L481" s="49" t="str">
        <f t="shared" si="221"/>
        <v/>
      </c>
      <c r="M481" s="329"/>
      <c r="N481" s="329"/>
      <c r="O481" s="329"/>
      <c r="P481" s="341"/>
      <c r="Q481" s="29"/>
    </row>
    <row r="482" spans="1:17">
      <c r="A482" s="336"/>
      <c r="B482" s="334"/>
      <c r="C482" s="24"/>
      <c r="D482" s="11"/>
      <c r="E482" s="11"/>
      <c r="F482" s="351"/>
      <c r="G482" s="43"/>
      <c r="H482" s="10"/>
      <c r="I482" s="10"/>
      <c r="J482" s="10"/>
      <c r="K482" s="52"/>
      <c r="L482" s="49" t="str">
        <f t="shared" si="221"/>
        <v/>
      </c>
      <c r="M482" s="329"/>
      <c r="N482" s="329"/>
      <c r="O482" s="329"/>
      <c r="P482" s="341"/>
      <c r="Q482" s="29"/>
    </row>
    <row r="483" spans="1:17">
      <c r="A483" s="336"/>
      <c r="B483" s="334"/>
      <c r="C483" s="24"/>
      <c r="D483" s="11"/>
      <c r="E483" s="11"/>
      <c r="F483" s="351"/>
      <c r="G483" s="43"/>
      <c r="H483" s="10"/>
      <c r="I483" s="10"/>
      <c r="J483" s="10"/>
      <c r="K483" s="52"/>
      <c r="L483" s="49" t="str">
        <f t="shared" si="221"/>
        <v/>
      </c>
      <c r="M483" s="329"/>
      <c r="N483" s="329"/>
      <c r="O483" s="329"/>
      <c r="P483" s="341"/>
      <c r="Q483" s="29"/>
    </row>
    <row r="484" spans="1:17" ht="15" thickBot="1">
      <c r="A484" s="337"/>
      <c r="B484" s="327"/>
      <c r="C484" s="30"/>
      <c r="D484" s="26"/>
      <c r="E484" s="26"/>
      <c r="F484" s="352"/>
      <c r="G484" s="44"/>
      <c r="H484" s="46"/>
      <c r="I484" s="46"/>
      <c r="J484" s="46"/>
      <c r="K484" s="47"/>
      <c r="L484" s="50" t="str">
        <f>IFERROR(AVERAGE(G484:K484)/60,"")</f>
        <v/>
      </c>
      <c r="M484" s="330"/>
      <c r="N484" s="330"/>
      <c r="O484" s="330"/>
      <c r="P484" s="342"/>
      <c r="Q484" s="31"/>
    </row>
    <row r="485" spans="1:17">
      <c r="A485" s="335"/>
      <c r="B485" s="326"/>
      <c r="C485" s="27"/>
      <c r="D485" s="25"/>
      <c r="E485" s="25"/>
      <c r="F485" s="350">
        <f t="shared" ref="F485" si="222">SUM(E485:E490)</f>
        <v>0</v>
      </c>
      <c r="G485" s="42"/>
      <c r="H485" s="45"/>
      <c r="I485" s="45"/>
      <c r="J485" s="45"/>
      <c r="K485" s="51"/>
      <c r="L485" s="48" t="str">
        <f>IFERROR(AVERAGE(G485:K485)/60,"")</f>
        <v/>
      </c>
      <c r="M485" s="328">
        <f>SUM(L485:L490)</f>
        <v>0</v>
      </c>
      <c r="N485" s="328">
        <f>IFERROR(M485*1.1,"")</f>
        <v>0</v>
      </c>
      <c r="O485" s="328" t="str">
        <f>IFERROR(60/N485,"")</f>
        <v/>
      </c>
      <c r="P485" s="340" t="str">
        <f>IFERROR(SUM(E485:E490)*O485/60,"")</f>
        <v/>
      </c>
      <c r="Q485" s="28"/>
    </row>
    <row r="486" spans="1:17">
      <c r="A486" s="336"/>
      <c r="B486" s="334"/>
      <c r="C486" s="24"/>
      <c r="D486" s="11"/>
      <c r="E486" s="11"/>
      <c r="F486" s="351"/>
      <c r="G486" s="43"/>
      <c r="H486" s="10"/>
      <c r="I486" s="10"/>
      <c r="J486" s="10"/>
      <c r="K486" s="52"/>
      <c r="L486" s="49" t="str">
        <f t="shared" ref="L486:L489" si="223">IFERROR(AVERAGE(G486:K486)/60,"")</f>
        <v/>
      </c>
      <c r="M486" s="329"/>
      <c r="N486" s="329"/>
      <c r="O486" s="329"/>
      <c r="P486" s="341"/>
      <c r="Q486" s="29"/>
    </row>
    <row r="487" spans="1:17">
      <c r="A487" s="336"/>
      <c r="B487" s="334"/>
      <c r="C487" s="24"/>
      <c r="D487" s="11"/>
      <c r="E487" s="11"/>
      <c r="F487" s="351"/>
      <c r="G487" s="43"/>
      <c r="H487" s="10"/>
      <c r="I487" s="10"/>
      <c r="J487" s="10"/>
      <c r="K487" s="52"/>
      <c r="L487" s="49" t="str">
        <f t="shared" si="223"/>
        <v/>
      </c>
      <c r="M487" s="329"/>
      <c r="N487" s="329"/>
      <c r="O487" s="329"/>
      <c r="P487" s="341"/>
      <c r="Q487" s="29"/>
    </row>
    <row r="488" spans="1:17">
      <c r="A488" s="336"/>
      <c r="B488" s="334"/>
      <c r="C488" s="24"/>
      <c r="D488" s="11"/>
      <c r="E488" s="11"/>
      <c r="F488" s="351"/>
      <c r="G488" s="43"/>
      <c r="H488" s="10"/>
      <c r="I488" s="10"/>
      <c r="J488" s="10"/>
      <c r="K488" s="52"/>
      <c r="L488" s="49" t="str">
        <f t="shared" si="223"/>
        <v/>
      </c>
      <c r="M488" s="329"/>
      <c r="N488" s="329"/>
      <c r="O488" s="329"/>
      <c r="P488" s="341"/>
      <c r="Q488" s="29"/>
    </row>
    <row r="489" spans="1:17">
      <c r="A489" s="336"/>
      <c r="B489" s="334"/>
      <c r="C489" s="24"/>
      <c r="D489" s="11"/>
      <c r="E489" s="11"/>
      <c r="F489" s="351"/>
      <c r="G489" s="43"/>
      <c r="H489" s="10"/>
      <c r="I489" s="10"/>
      <c r="J489" s="10"/>
      <c r="K489" s="52"/>
      <c r="L489" s="49" t="str">
        <f t="shared" si="223"/>
        <v/>
      </c>
      <c r="M489" s="329"/>
      <c r="N489" s="329"/>
      <c r="O489" s="329"/>
      <c r="P489" s="341"/>
      <c r="Q489" s="29"/>
    </row>
    <row r="490" spans="1:17" ht="15" thickBot="1">
      <c r="A490" s="337"/>
      <c r="B490" s="327"/>
      <c r="C490" s="30"/>
      <c r="D490" s="26"/>
      <c r="E490" s="26"/>
      <c r="F490" s="352"/>
      <c r="G490" s="44"/>
      <c r="H490" s="46"/>
      <c r="I490" s="46"/>
      <c r="J490" s="46"/>
      <c r="K490" s="47"/>
      <c r="L490" s="50" t="str">
        <f>IFERROR(AVERAGE(G490:K490)/60,"")</f>
        <v/>
      </c>
      <c r="M490" s="330"/>
      <c r="N490" s="330"/>
      <c r="O490" s="330"/>
      <c r="P490" s="342"/>
      <c r="Q490" s="31"/>
    </row>
    <row r="491" spans="1:17">
      <c r="A491" s="335"/>
      <c r="B491" s="326"/>
      <c r="C491" s="27"/>
      <c r="D491" s="25"/>
      <c r="E491" s="25"/>
      <c r="F491" s="350">
        <f t="shared" ref="F491" si="224">SUM(E491:E496)</f>
        <v>0</v>
      </c>
      <c r="G491" s="42"/>
      <c r="H491" s="45"/>
      <c r="I491" s="45"/>
      <c r="J491" s="45"/>
      <c r="K491" s="51"/>
      <c r="L491" s="48" t="str">
        <f>IFERROR(AVERAGE(G491:K491)/60,"")</f>
        <v/>
      </c>
      <c r="M491" s="328">
        <f>SUM(L491:L496)</f>
        <v>0</v>
      </c>
      <c r="N491" s="328">
        <f>IFERROR(M491*1.1,"")</f>
        <v>0</v>
      </c>
      <c r="O491" s="328" t="str">
        <f>IFERROR(60/N491,"")</f>
        <v/>
      </c>
      <c r="P491" s="340" t="str">
        <f t="shared" ref="P491" si="225">IFERROR(SUM(E491:E496)*O491/60,"")</f>
        <v/>
      </c>
      <c r="Q491" s="28"/>
    </row>
    <row r="492" spans="1:17">
      <c r="A492" s="336"/>
      <c r="B492" s="334"/>
      <c r="C492" s="24"/>
      <c r="D492" s="11"/>
      <c r="E492" s="11"/>
      <c r="F492" s="351"/>
      <c r="G492" s="43"/>
      <c r="H492" s="10"/>
      <c r="I492" s="10"/>
      <c r="J492" s="10"/>
      <c r="K492" s="52"/>
      <c r="L492" s="49" t="str">
        <f t="shared" ref="L492:L495" si="226">IFERROR(AVERAGE(G492:K492)/60,"")</f>
        <v/>
      </c>
      <c r="M492" s="329"/>
      <c r="N492" s="329"/>
      <c r="O492" s="329"/>
      <c r="P492" s="341"/>
      <c r="Q492" s="29"/>
    </row>
    <row r="493" spans="1:17">
      <c r="A493" s="336"/>
      <c r="B493" s="334"/>
      <c r="C493" s="24"/>
      <c r="D493" s="11"/>
      <c r="E493" s="11"/>
      <c r="F493" s="351"/>
      <c r="G493" s="43"/>
      <c r="H493" s="10"/>
      <c r="I493" s="10"/>
      <c r="J493" s="10"/>
      <c r="K493" s="52"/>
      <c r="L493" s="49" t="str">
        <f t="shared" si="226"/>
        <v/>
      </c>
      <c r="M493" s="329"/>
      <c r="N493" s="329"/>
      <c r="O493" s="329"/>
      <c r="P493" s="341"/>
      <c r="Q493" s="29"/>
    </row>
    <row r="494" spans="1:17">
      <c r="A494" s="336"/>
      <c r="B494" s="334"/>
      <c r="C494" s="24"/>
      <c r="D494" s="11"/>
      <c r="E494" s="11"/>
      <c r="F494" s="351"/>
      <c r="G494" s="43"/>
      <c r="H494" s="10"/>
      <c r="I494" s="10"/>
      <c r="J494" s="10"/>
      <c r="K494" s="52"/>
      <c r="L494" s="49" t="str">
        <f t="shared" si="226"/>
        <v/>
      </c>
      <c r="M494" s="329"/>
      <c r="N494" s="329"/>
      <c r="O494" s="329"/>
      <c r="P494" s="341"/>
      <c r="Q494" s="29"/>
    </row>
    <row r="495" spans="1:17">
      <c r="A495" s="336"/>
      <c r="B495" s="334"/>
      <c r="C495" s="24"/>
      <c r="D495" s="11"/>
      <c r="E495" s="11"/>
      <c r="F495" s="351"/>
      <c r="G495" s="43"/>
      <c r="H495" s="10"/>
      <c r="I495" s="10"/>
      <c r="J495" s="10"/>
      <c r="K495" s="52"/>
      <c r="L495" s="49" t="str">
        <f t="shared" si="226"/>
        <v/>
      </c>
      <c r="M495" s="329"/>
      <c r="N495" s="329"/>
      <c r="O495" s="329"/>
      <c r="P495" s="341"/>
      <c r="Q495" s="29"/>
    </row>
    <row r="496" spans="1:17" ht="15" thickBot="1">
      <c r="A496" s="337"/>
      <c r="B496" s="327"/>
      <c r="C496" s="30"/>
      <c r="D496" s="26"/>
      <c r="E496" s="26"/>
      <c r="F496" s="352"/>
      <c r="G496" s="44"/>
      <c r="H496" s="46"/>
      <c r="I496" s="46"/>
      <c r="J496" s="46"/>
      <c r="K496" s="47"/>
      <c r="L496" s="50" t="str">
        <f>IFERROR(AVERAGE(G496:K496)/60,"")</f>
        <v/>
      </c>
      <c r="M496" s="330"/>
      <c r="N496" s="330"/>
      <c r="O496" s="330"/>
      <c r="P496" s="342"/>
      <c r="Q496" s="31"/>
    </row>
    <row r="497" spans="1:17">
      <c r="A497" s="335"/>
      <c r="B497" s="326"/>
      <c r="C497" s="27"/>
      <c r="D497" s="25"/>
      <c r="E497" s="25"/>
      <c r="F497" s="350">
        <f t="shared" ref="F497" si="227">SUM(E497:E502)</f>
        <v>0</v>
      </c>
      <c r="G497" s="42"/>
      <c r="H497" s="45"/>
      <c r="I497" s="45"/>
      <c r="J497" s="45"/>
      <c r="K497" s="51"/>
      <c r="L497" s="48" t="str">
        <f>IFERROR(AVERAGE(G497:K497)/60,"")</f>
        <v/>
      </c>
      <c r="M497" s="328">
        <f>SUM(L497:L502)</f>
        <v>0</v>
      </c>
      <c r="N497" s="328">
        <f>IFERROR(M497*1.1,"")</f>
        <v>0</v>
      </c>
      <c r="O497" s="328" t="str">
        <f>IFERROR(60/N497,"")</f>
        <v/>
      </c>
      <c r="P497" s="340" t="str">
        <f t="shared" ref="P497" si="228">IFERROR(SUM(E497:E502)*O497/60,"")</f>
        <v/>
      </c>
      <c r="Q497" s="28"/>
    </row>
    <row r="498" spans="1:17">
      <c r="A498" s="336"/>
      <c r="B498" s="334"/>
      <c r="C498" s="24"/>
      <c r="D498" s="11"/>
      <c r="E498" s="11"/>
      <c r="F498" s="351"/>
      <c r="G498" s="43"/>
      <c r="H498" s="10"/>
      <c r="I498" s="10"/>
      <c r="J498" s="10"/>
      <c r="K498" s="52"/>
      <c r="L498" s="49" t="str">
        <f t="shared" ref="L498:L501" si="229">IFERROR(AVERAGE(G498:K498)/60,"")</f>
        <v/>
      </c>
      <c r="M498" s="329"/>
      <c r="N498" s="329"/>
      <c r="O498" s="329"/>
      <c r="P498" s="341"/>
      <c r="Q498" s="29"/>
    </row>
    <row r="499" spans="1:17">
      <c r="A499" s="336"/>
      <c r="B499" s="334"/>
      <c r="C499" s="24"/>
      <c r="D499" s="11"/>
      <c r="E499" s="11"/>
      <c r="F499" s="351"/>
      <c r="G499" s="43"/>
      <c r="H499" s="10"/>
      <c r="I499" s="10"/>
      <c r="J499" s="10"/>
      <c r="K499" s="52"/>
      <c r="L499" s="49" t="str">
        <f t="shared" si="229"/>
        <v/>
      </c>
      <c r="M499" s="329"/>
      <c r="N499" s="329"/>
      <c r="O499" s="329"/>
      <c r="P499" s="341"/>
      <c r="Q499" s="29"/>
    </row>
    <row r="500" spans="1:17">
      <c r="A500" s="336"/>
      <c r="B500" s="334"/>
      <c r="C500" s="24"/>
      <c r="D500" s="11"/>
      <c r="E500" s="11"/>
      <c r="F500" s="351"/>
      <c r="G500" s="43"/>
      <c r="H500" s="10"/>
      <c r="I500" s="10"/>
      <c r="J500" s="10"/>
      <c r="K500" s="52"/>
      <c r="L500" s="49" t="str">
        <f t="shared" si="229"/>
        <v/>
      </c>
      <c r="M500" s="329"/>
      <c r="N500" s="329"/>
      <c r="O500" s="329"/>
      <c r="P500" s="341"/>
      <c r="Q500" s="29"/>
    </row>
    <row r="501" spans="1:17">
      <c r="A501" s="336"/>
      <c r="B501" s="334"/>
      <c r="C501" s="24"/>
      <c r="D501" s="11"/>
      <c r="E501" s="11"/>
      <c r="F501" s="351"/>
      <c r="G501" s="43"/>
      <c r="H501" s="10"/>
      <c r="I501" s="10"/>
      <c r="J501" s="10"/>
      <c r="K501" s="52"/>
      <c r="L501" s="49" t="str">
        <f t="shared" si="229"/>
        <v/>
      </c>
      <c r="M501" s="329"/>
      <c r="N501" s="329"/>
      <c r="O501" s="329"/>
      <c r="P501" s="341"/>
      <c r="Q501" s="29"/>
    </row>
    <row r="502" spans="1:17" ht="15" thickBot="1">
      <c r="A502" s="337"/>
      <c r="B502" s="327"/>
      <c r="C502" s="30"/>
      <c r="D502" s="26"/>
      <c r="E502" s="26"/>
      <c r="F502" s="352"/>
      <c r="G502" s="44"/>
      <c r="H502" s="46"/>
      <c r="I502" s="46"/>
      <c r="J502" s="46"/>
      <c r="K502" s="47"/>
      <c r="L502" s="50" t="str">
        <f>IFERROR(AVERAGE(G502:K502)/60,"")</f>
        <v/>
      </c>
      <c r="M502" s="330"/>
      <c r="N502" s="330"/>
      <c r="O502" s="330"/>
      <c r="P502" s="342"/>
      <c r="Q502" s="31"/>
    </row>
    <row r="503" spans="1:17">
      <c r="A503" s="335"/>
      <c r="B503" s="326"/>
      <c r="C503" s="27"/>
      <c r="D503" s="25"/>
      <c r="E503" s="25"/>
      <c r="F503" s="350">
        <f t="shared" ref="F503" si="230">SUM(E503:E508)</f>
        <v>0</v>
      </c>
      <c r="G503" s="42"/>
      <c r="H503" s="45"/>
      <c r="I503" s="45"/>
      <c r="J503" s="45"/>
      <c r="K503" s="51"/>
      <c r="L503" s="48" t="str">
        <f>IFERROR(AVERAGE(G503:K503)/60,"")</f>
        <v/>
      </c>
      <c r="M503" s="328">
        <f>SUM(L503:L508)</f>
        <v>0</v>
      </c>
      <c r="N503" s="328">
        <f>IFERROR(M503*1.1,"")</f>
        <v>0</v>
      </c>
      <c r="O503" s="328" t="str">
        <f>IFERROR(60/N503,"")</f>
        <v/>
      </c>
      <c r="P503" s="340" t="str">
        <f t="shared" ref="P503" si="231">IFERROR(SUM(E503:E508)*O503/60,"")</f>
        <v/>
      </c>
      <c r="Q503" s="28"/>
    </row>
    <row r="504" spans="1:17">
      <c r="A504" s="336"/>
      <c r="B504" s="334"/>
      <c r="C504" s="24"/>
      <c r="D504" s="11"/>
      <c r="E504" s="11"/>
      <c r="F504" s="351"/>
      <c r="G504" s="43"/>
      <c r="H504" s="10"/>
      <c r="I504" s="10"/>
      <c r="J504" s="10"/>
      <c r="K504" s="52"/>
      <c r="L504" s="49" t="str">
        <f t="shared" ref="L504:L507" si="232">IFERROR(AVERAGE(G504:K504)/60,"")</f>
        <v/>
      </c>
      <c r="M504" s="329"/>
      <c r="N504" s="329"/>
      <c r="O504" s="329"/>
      <c r="P504" s="341"/>
      <c r="Q504" s="29"/>
    </row>
    <row r="505" spans="1:17">
      <c r="A505" s="336"/>
      <c r="B505" s="334"/>
      <c r="C505" s="24"/>
      <c r="D505" s="11"/>
      <c r="E505" s="11"/>
      <c r="F505" s="351"/>
      <c r="G505" s="43"/>
      <c r="H505" s="10"/>
      <c r="I505" s="10"/>
      <c r="J505" s="10"/>
      <c r="K505" s="52"/>
      <c r="L505" s="49" t="str">
        <f t="shared" si="232"/>
        <v/>
      </c>
      <c r="M505" s="329"/>
      <c r="N505" s="329"/>
      <c r="O505" s="329"/>
      <c r="P505" s="341"/>
      <c r="Q505" s="29"/>
    </row>
    <row r="506" spans="1:17">
      <c r="A506" s="336"/>
      <c r="B506" s="334"/>
      <c r="C506" s="24"/>
      <c r="D506" s="11"/>
      <c r="E506" s="11"/>
      <c r="F506" s="351"/>
      <c r="G506" s="43"/>
      <c r="H506" s="10"/>
      <c r="I506" s="10"/>
      <c r="J506" s="10"/>
      <c r="K506" s="52"/>
      <c r="L506" s="49" t="str">
        <f t="shared" si="232"/>
        <v/>
      </c>
      <c r="M506" s="329"/>
      <c r="N506" s="329"/>
      <c r="O506" s="329"/>
      <c r="P506" s="341"/>
      <c r="Q506" s="29"/>
    </row>
    <row r="507" spans="1:17">
      <c r="A507" s="336"/>
      <c r="B507" s="334"/>
      <c r="C507" s="24"/>
      <c r="D507" s="11"/>
      <c r="E507" s="11"/>
      <c r="F507" s="351"/>
      <c r="G507" s="43"/>
      <c r="H507" s="10"/>
      <c r="I507" s="10"/>
      <c r="J507" s="10"/>
      <c r="K507" s="52"/>
      <c r="L507" s="49" t="str">
        <f t="shared" si="232"/>
        <v/>
      </c>
      <c r="M507" s="329"/>
      <c r="N507" s="329"/>
      <c r="O507" s="329"/>
      <c r="P507" s="341"/>
      <c r="Q507" s="29"/>
    </row>
    <row r="508" spans="1:17" ht="15" thickBot="1">
      <c r="A508" s="337"/>
      <c r="B508" s="327"/>
      <c r="C508" s="30"/>
      <c r="D508" s="26"/>
      <c r="E508" s="26"/>
      <c r="F508" s="352"/>
      <c r="G508" s="44"/>
      <c r="H508" s="46"/>
      <c r="I508" s="46"/>
      <c r="J508" s="46"/>
      <c r="K508" s="47"/>
      <c r="L508" s="50" t="str">
        <f>IFERROR(AVERAGE(G508:K508)/60,"")</f>
        <v/>
      </c>
      <c r="M508" s="330"/>
      <c r="N508" s="330"/>
      <c r="O508" s="330"/>
      <c r="P508" s="342"/>
      <c r="Q508" s="31"/>
    </row>
    <row r="509" spans="1:17">
      <c r="A509" s="335"/>
      <c r="B509" s="326"/>
      <c r="C509" s="27"/>
      <c r="D509" s="25"/>
      <c r="E509" s="25"/>
      <c r="F509" s="350">
        <f t="shared" ref="F509" si="233">SUM(E509:E514)</f>
        <v>0</v>
      </c>
      <c r="G509" s="42"/>
      <c r="H509" s="45"/>
      <c r="I509" s="45"/>
      <c r="J509" s="45"/>
      <c r="K509" s="51"/>
      <c r="L509" s="48" t="str">
        <f>IFERROR(AVERAGE(G509:K509)/60,"")</f>
        <v/>
      </c>
      <c r="M509" s="328">
        <f>SUM(L509:L514)</f>
        <v>0</v>
      </c>
      <c r="N509" s="328">
        <f>IFERROR(M509*1.1,"")</f>
        <v>0</v>
      </c>
      <c r="O509" s="328" t="str">
        <f>IFERROR(60/N509,"")</f>
        <v/>
      </c>
      <c r="P509" s="340" t="str">
        <f t="shared" ref="P509" si="234">IFERROR(SUM(E509:E514)*O509/60,"")</f>
        <v/>
      </c>
      <c r="Q509" s="28"/>
    </row>
    <row r="510" spans="1:17">
      <c r="A510" s="336"/>
      <c r="B510" s="334"/>
      <c r="C510" s="24"/>
      <c r="D510" s="11"/>
      <c r="E510" s="11"/>
      <c r="F510" s="351"/>
      <c r="G510" s="43"/>
      <c r="H510" s="10"/>
      <c r="I510" s="10"/>
      <c r="J510" s="10"/>
      <c r="K510" s="52"/>
      <c r="L510" s="49" t="str">
        <f t="shared" ref="L510:L513" si="235">IFERROR(AVERAGE(G510:K510)/60,"")</f>
        <v/>
      </c>
      <c r="M510" s="329"/>
      <c r="N510" s="329"/>
      <c r="O510" s="329"/>
      <c r="P510" s="341"/>
      <c r="Q510" s="29"/>
    </row>
    <row r="511" spans="1:17">
      <c r="A511" s="336"/>
      <c r="B511" s="334"/>
      <c r="C511" s="24"/>
      <c r="D511" s="11"/>
      <c r="E511" s="11"/>
      <c r="F511" s="351"/>
      <c r="G511" s="43"/>
      <c r="H511" s="10"/>
      <c r="I511" s="10"/>
      <c r="J511" s="10"/>
      <c r="K511" s="52"/>
      <c r="L511" s="49" t="str">
        <f t="shared" si="235"/>
        <v/>
      </c>
      <c r="M511" s="329"/>
      <c r="N511" s="329"/>
      <c r="O511" s="329"/>
      <c r="P511" s="341"/>
      <c r="Q511" s="29"/>
    </row>
    <row r="512" spans="1:17">
      <c r="A512" s="336"/>
      <c r="B512" s="334"/>
      <c r="C512" s="24"/>
      <c r="D512" s="11"/>
      <c r="E512" s="11"/>
      <c r="F512" s="351"/>
      <c r="G512" s="43"/>
      <c r="H512" s="10"/>
      <c r="I512" s="10"/>
      <c r="J512" s="10"/>
      <c r="K512" s="52"/>
      <c r="L512" s="49" t="str">
        <f t="shared" si="235"/>
        <v/>
      </c>
      <c r="M512" s="329"/>
      <c r="N512" s="329"/>
      <c r="O512" s="329"/>
      <c r="P512" s="341"/>
      <c r="Q512" s="29"/>
    </row>
    <row r="513" spans="1:17">
      <c r="A513" s="336"/>
      <c r="B513" s="334"/>
      <c r="C513" s="24"/>
      <c r="D513" s="11"/>
      <c r="E513" s="11"/>
      <c r="F513" s="351"/>
      <c r="G513" s="43"/>
      <c r="H513" s="10"/>
      <c r="I513" s="10"/>
      <c r="J513" s="10"/>
      <c r="K513" s="52"/>
      <c r="L513" s="49" t="str">
        <f t="shared" si="235"/>
        <v/>
      </c>
      <c r="M513" s="329"/>
      <c r="N513" s="329"/>
      <c r="O513" s="329"/>
      <c r="P513" s="341"/>
      <c r="Q513" s="29"/>
    </row>
    <row r="514" spans="1:17" ht="15" thickBot="1">
      <c r="A514" s="337"/>
      <c r="B514" s="327"/>
      <c r="C514" s="30"/>
      <c r="D514" s="26"/>
      <c r="E514" s="26"/>
      <c r="F514" s="352"/>
      <c r="G514" s="44"/>
      <c r="H514" s="46"/>
      <c r="I514" s="46"/>
      <c r="J514" s="46"/>
      <c r="K514" s="47"/>
      <c r="L514" s="50" t="str">
        <f>IFERROR(AVERAGE(G514:K514)/60,"")</f>
        <v/>
      </c>
      <c r="M514" s="330"/>
      <c r="N514" s="330"/>
      <c r="O514" s="330"/>
      <c r="P514" s="342"/>
      <c r="Q514" s="31"/>
    </row>
    <row r="515" spans="1:17">
      <c r="A515" s="335"/>
      <c r="B515" s="326"/>
      <c r="C515" s="27"/>
      <c r="D515" s="25"/>
      <c r="E515" s="25"/>
      <c r="F515" s="350">
        <f t="shared" ref="F515" si="236">SUM(E515:E520)</f>
        <v>0</v>
      </c>
      <c r="G515" s="42"/>
      <c r="H515" s="45"/>
      <c r="I515" s="45"/>
      <c r="J515" s="45"/>
      <c r="K515" s="51"/>
      <c r="L515" s="48" t="str">
        <f>IFERROR(AVERAGE(G515:K515)/60,"")</f>
        <v/>
      </c>
      <c r="M515" s="328">
        <f>SUM(L515:L520)</f>
        <v>0</v>
      </c>
      <c r="N515" s="328">
        <f>IFERROR(M515*1.1,"")</f>
        <v>0</v>
      </c>
      <c r="O515" s="328" t="str">
        <f>IFERROR(60/N515,"")</f>
        <v/>
      </c>
      <c r="P515" s="340" t="str">
        <f>IFERROR(SUM(E515:E520)*O515/60,"")</f>
        <v/>
      </c>
      <c r="Q515" s="28"/>
    </row>
    <row r="516" spans="1:17">
      <c r="A516" s="336"/>
      <c r="B516" s="334"/>
      <c r="C516" s="24"/>
      <c r="D516" s="11"/>
      <c r="E516" s="11"/>
      <c r="F516" s="351"/>
      <c r="G516" s="43"/>
      <c r="H516" s="10"/>
      <c r="I516" s="10"/>
      <c r="J516" s="10"/>
      <c r="K516" s="52"/>
      <c r="L516" s="49" t="str">
        <f t="shared" ref="L516:L519" si="237">IFERROR(AVERAGE(G516:K516)/60,"")</f>
        <v/>
      </c>
      <c r="M516" s="329"/>
      <c r="N516" s="329"/>
      <c r="O516" s="329"/>
      <c r="P516" s="341"/>
      <c r="Q516" s="29"/>
    </row>
    <row r="517" spans="1:17">
      <c r="A517" s="336"/>
      <c r="B517" s="334"/>
      <c r="C517" s="24"/>
      <c r="D517" s="11"/>
      <c r="E517" s="11"/>
      <c r="F517" s="351"/>
      <c r="G517" s="43"/>
      <c r="H517" s="10"/>
      <c r="I517" s="10"/>
      <c r="J517" s="10"/>
      <c r="K517" s="52"/>
      <c r="L517" s="49" t="str">
        <f t="shared" si="237"/>
        <v/>
      </c>
      <c r="M517" s="329"/>
      <c r="N517" s="329"/>
      <c r="O517" s="329"/>
      <c r="P517" s="341"/>
      <c r="Q517" s="29"/>
    </row>
    <row r="518" spans="1:17">
      <c r="A518" s="336"/>
      <c r="B518" s="334"/>
      <c r="C518" s="24"/>
      <c r="D518" s="11"/>
      <c r="E518" s="11"/>
      <c r="F518" s="351"/>
      <c r="G518" s="43"/>
      <c r="H518" s="10"/>
      <c r="I518" s="10"/>
      <c r="J518" s="10"/>
      <c r="K518" s="52"/>
      <c r="L518" s="49" t="str">
        <f t="shared" si="237"/>
        <v/>
      </c>
      <c r="M518" s="329"/>
      <c r="N518" s="329"/>
      <c r="O518" s="329"/>
      <c r="P518" s="341"/>
      <c r="Q518" s="29"/>
    </row>
    <row r="519" spans="1:17">
      <c r="A519" s="336"/>
      <c r="B519" s="334"/>
      <c r="C519" s="24"/>
      <c r="D519" s="11"/>
      <c r="E519" s="11"/>
      <c r="F519" s="351"/>
      <c r="G519" s="43"/>
      <c r="H519" s="10"/>
      <c r="I519" s="10"/>
      <c r="J519" s="10"/>
      <c r="K519" s="52"/>
      <c r="L519" s="49" t="str">
        <f t="shared" si="237"/>
        <v/>
      </c>
      <c r="M519" s="329"/>
      <c r="N519" s="329"/>
      <c r="O519" s="329"/>
      <c r="P519" s="341"/>
      <c r="Q519" s="29"/>
    </row>
    <row r="520" spans="1:17" ht="15" thickBot="1">
      <c r="A520" s="337"/>
      <c r="B520" s="327"/>
      <c r="C520" s="30"/>
      <c r="D520" s="26"/>
      <c r="E520" s="26"/>
      <c r="F520" s="352"/>
      <c r="G520" s="44"/>
      <c r="H520" s="46"/>
      <c r="I520" s="46"/>
      <c r="J520" s="46"/>
      <c r="K520" s="47"/>
      <c r="L520" s="50" t="str">
        <f>IFERROR(AVERAGE(G520:K520)/60,"")</f>
        <v/>
      </c>
      <c r="M520" s="330"/>
      <c r="N520" s="330"/>
      <c r="O520" s="330"/>
      <c r="P520" s="342"/>
      <c r="Q520" s="31"/>
    </row>
    <row r="521" spans="1:17">
      <c r="A521" s="335"/>
      <c r="B521" s="326"/>
      <c r="C521" s="27"/>
      <c r="D521" s="25"/>
      <c r="E521" s="25"/>
      <c r="F521" s="350">
        <f t="shared" ref="F521" si="238">SUM(E521:E526)</f>
        <v>0</v>
      </c>
      <c r="G521" s="42"/>
      <c r="H521" s="45"/>
      <c r="I521" s="45"/>
      <c r="J521" s="45"/>
      <c r="K521" s="51"/>
      <c r="L521" s="48" t="str">
        <f>IFERROR(AVERAGE(G521:K521)/60,"")</f>
        <v/>
      </c>
      <c r="M521" s="328">
        <f>SUM(L521:L526)</f>
        <v>0</v>
      </c>
      <c r="N521" s="328">
        <f>IFERROR(M521*1.1,"")</f>
        <v>0</v>
      </c>
      <c r="O521" s="328" t="str">
        <f>IFERROR(60/N521,"")</f>
        <v/>
      </c>
      <c r="P521" s="340" t="str">
        <f t="shared" ref="P521" si="239">IFERROR(SUM(E521:E526)*O521/60,"")</f>
        <v/>
      </c>
      <c r="Q521" s="28"/>
    </row>
    <row r="522" spans="1:17">
      <c r="A522" s="336"/>
      <c r="B522" s="334"/>
      <c r="C522" s="24"/>
      <c r="D522" s="11"/>
      <c r="E522" s="11"/>
      <c r="F522" s="351"/>
      <c r="G522" s="43"/>
      <c r="H522" s="10"/>
      <c r="I522" s="10"/>
      <c r="J522" s="10"/>
      <c r="K522" s="52"/>
      <c r="L522" s="49" t="str">
        <f t="shared" ref="L522:L525" si="240">IFERROR(AVERAGE(G522:K522)/60,"")</f>
        <v/>
      </c>
      <c r="M522" s="329"/>
      <c r="N522" s="329"/>
      <c r="O522" s="329"/>
      <c r="P522" s="341"/>
      <c r="Q522" s="29"/>
    </row>
    <row r="523" spans="1:17">
      <c r="A523" s="336"/>
      <c r="B523" s="334"/>
      <c r="C523" s="24"/>
      <c r="D523" s="11"/>
      <c r="E523" s="11"/>
      <c r="F523" s="351"/>
      <c r="G523" s="43"/>
      <c r="H523" s="10"/>
      <c r="I523" s="10"/>
      <c r="J523" s="10"/>
      <c r="K523" s="52"/>
      <c r="L523" s="49" t="str">
        <f t="shared" si="240"/>
        <v/>
      </c>
      <c r="M523" s="329"/>
      <c r="N523" s="329"/>
      <c r="O523" s="329"/>
      <c r="P523" s="341"/>
      <c r="Q523" s="29"/>
    </row>
    <row r="524" spans="1:17">
      <c r="A524" s="336"/>
      <c r="B524" s="334"/>
      <c r="C524" s="24"/>
      <c r="D524" s="11"/>
      <c r="E524" s="11"/>
      <c r="F524" s="351"/>
      <c r="G524" s="43"/>
      <c r="H524" s="10"/>
      <c r="I524" s="10"/>
      <c r="J524" s="10"/>
      <c r="K524" s="52"/>
      <c r="L524" s="49" t="str">
        <f t="shared" si="240"/>
        <v/>
      </c>
      <c r="M524" s="329"/>
      <c r="N524" s="329"/>
      <c r="O524" s="329"/>
      <c r="P524" s="341"/>
      <c r="Q524" s="29"/>
    </row>
    <row r="525" spans="1:17">
      <c r="A525" s="336"/>
      <c r="B525" s="334"/>
      <c r="C525" s="24"/>
      <c r="D525" s="11"/>
      <c r="E525" s="11"/>
      <c r="F525" s="351"/>
      <c r="G525" s="43"/>
      <c r="H525" s="10"/>
      <c r="I525" s="10"/>
      <c r="J525" s="10"/>
      <c r="K525" s="52"/>
      <c r="L525" s="49" t="str">
        <f t="shared" si="240"/>
        <v/>
      </c>
      <c r="M525" s="329"/>
      <c r="N525" s="329"/>
      <c r="O525" s="329"/>
      <c r="P525" s="341"/>
      <c r="Q525" s="29"/>
    </row>
    <row r="526" spans="1:17" ht="15" thickBot="1">
      <c r="A526" s="337"/>
      <c r="B526" s="327"/>
      <c r="C526" s="30"/>
      <c r="D526" s="26"/>
      <c r="E526" s="26"/>
      <c r="F526" s="352"/>
      <c r="G526" s="44"/>
      <c r="H526" s="46"/>
      <c r="I526" s="46"/>
      <c r="J526" s="46"/>
      <c r="K526" s="47"/>
      <c r="L526" s="50" t="str">
        <f>IFERROR(AVERAGE(G526:K526)/60,"")</f>
        <v/>
      </c>
      <c r="M526" s="330"/>
      <c r="N526" s="330"/>
      <c r="O526" s="330"/>
      <c r="P526" s="342"/>
      <c r="Q526" s="31"/>
    </row>
    <row r="527" spans="1:17">
      <c r="A527" s="335"/>
      <c r="B527" s="326"/>
      <c r="C527" s="27"/>
      <c r="D527" s="25"/>
      <c r="E527" s="25"/>
      <c r="F527" s="350">
        <f t="shared" ref="F527" si="241">SUM(E527:E532)</f>
        <v>0</v>
      </c>
      <c r="G527" s="42"/>
      <c r="H527" s="45"/>
      <c r="I527" s="45"/>
      <c r="J527" s="45"/>
      <c r="K527" s="51"/>
      <c r="L527" s="48" t="str">
        <f>IFERROR(AVERAGE(G527:K527)/60,"")</f>
        <v/>
      </c>
      <c r="M527" s="328">
        <f>SUM(L527:L532)</f>
        <v>0</v>
      </c>
      <c r="N527" s="328">
        <f>IFERROR(M527*1.1,"")</f>
        <v>0</v>
      </c>
      <c r="O527" s="328" t="str">
        <f>IFERROR(60/N527,"")</f>
        <v/>
      </c>
      <c r="P527" s="340" t="str">
        <f t="shared" ref="P527" si="242">IFERROR(SUM(E527:E532)*O527/60,"")</f>
        <v/>
      </c>
      <c r="Q527" s="28"/>
    </row>
    <row r="528" spans="1:17">
      <c r="A528" s="336"/>
      <c r="B528" s="334"/>
      <c r="C528" s="24"/>
      <c r="D528" s="11"/>
      <c r="E528" s="11"/>
      <c r="F528" s="351"/>
      <c r="G528" s="43"/>
      <c r="H528" s="10"/>
      <c r="I528" s="10"/>
      <c r="J528" s="10"/>
      <c r="K528" s="52"/>
      <c r="L528" s="49" t="str">
        <f t="shared" ref="L528:L531" si="243">IFERROR(AVERAGE(G528:K528)/60,"")</f>
        <v/>
      </c>
      <c r="M528" s="329"/>
      <c r="N528" s="329"/>
      <c r="O528" s="329"/>
      <c r="P528" s="341"/>
      <c r="Q528" s="29"/>
    </row>
    <row r="529" spans="1:17">
      <c r="A529" s="336"/>
      <c r="B529" s="334"/>
      <c r="C529" s="24"/>
      <c r="D529" s="11"/>
      <c r="E529" s="11"/>
      <c r="F529" s="351"/>
      <c r="G529" s="43"/>
      <c r="H529" s="10"/>
      <c r="I529" s="10"/>
      <c r="J529" s="10"/>
      <c r="K529" s="52"/>
      <c r="L529" s="49" t="str">
        <f t="shared" si="243"/>
        <v/>
      </c>
      <c r="M529" s="329"/>
      <c r="N529" s="329"/>
      <c r="O529" s="329"/>
      <c r="P529" s="341"/>
      <c r="Q529" s="29"/>
    </row>
    <row r="530" spans="1:17">
      <c r="A530" s="336"/>
      <c r="B530" s="334"/>
      <c r="C530" s="24"/>
      <c r="D530" s="11"/>
      <c r="E530" s="11"/>
      <c r="F530" s="351"/>
      <c r="G530" s="43"/>
      <c r="H530" s="10"/>
      <c r="I530" s="10"/>
      <c r="J530" s="10"/>
      <c r="K530" s="52"/>
      <c r="L530" s="49" t="str">
        <f t="shared" si="243"/>
        <v/>
      </c>
      <c r="M530" s="329"/>
      <c r="N530" s="329"/>
      <c r="O530" s="329"/>
      <c r="P530" s="341"/>
      <c r="Q530" s="29"/>
    </row>
    <row r="531" spans="1:17">
      <c r="A531" s="336"/>
      <c r="B531" s="334"/>
      <c r="C531" s="24"/>
      <c r="D531" s="11"/>
      <c r="E531" s="11"/>
      <c r="F531" s="351"/>
      <c r="G531" s="43"/>
      <c r="H531" s="10"/>
      <c r="I531" s="10"/>
      <c r="J531" s="10"/>
      <c r="K531" s="52"/>
      <c r="L531" s="49" t="str">
        <f t="shared" si="243"/>
        <v/>
      </c>
      <c r="M531" s="329"/>
      <c r="N531" s="329"/>
      <c r="O531" s="329"/>
      <c r="P531" s="341"/>
      <c r="Q531" s="29"/>
    </row>
    <row r="532" spans="1:17" ht="15" thickBot="1">
      <c r="A532" s="337"/>
      <c r="B532" s="327"/>
      <c r="C532" s="30"/>
      <c r="D532" s="26"/>
      <c r="E532" s="26"/>
      <c r="F532" s="352"/>
      <c r="G532" s="44"/>
      <c r="H532" s="46"/>
      <c r="I532" s="46"/>
      <c r="J532" s="46"/>
      <c r="K532" s="47"/>
      <c r="L532" s="50" t="str">
        <f>IFERROR(AVERAGE(G532:K532)/60,"")</f>
        <v/>
      </c>
      <c r="M532" s="330"/>
      <c r="N532" s="330"/>
      <c r="O532" s="330"/>
      <c r="P532" s="342"/>
      <c r="Q532" s="31"/>
    </row>
    <row r="533" spans="1:17">
      <c r="A533" s="335"/>
      <c r="B533" s="326"/>
      <c r="C533" s="27"/>
      <c r="D533" s="25"/>
      <c r="E533" s="25"/>
      <c r="F533" s="350">
        <f t="shared" ref="F533" si="244">SUM(E533:E538)</f>
        <v>0</v>
      </c>
      <c r="G533" s="42"/>
      <c r="H533" s="45"/>
      <c r="I533" s="45"/>
      <c r="J533" s="45"/>
      <c r="K533" s="51"/>
      <c r="L533" s="48" t="str">
        <f>IFERROR(AVERAGE(G533:K533)/60,"")</f>
        <v/>
      </c>
      <c r="M533" s="328">
        <f>SUM(L533:L538)</f>
        <v>0</v>
      </c>
      <c r="N533" s="328">
        <f>IFERROR(M533*1.1,"")</f>
        <v>0</v>
      </c>
      <c r="O533" s="328" t="str">
        <f>IFERROR(60/N533,"")</f>
        <v/>
      </c>
      <c r="P533" s="340" t="str">
        <f t="shared" ref="P533" si="245">IFERROR(SUM(E533:E538)*O533/60,"")</f>
        <v/>
      </c>
      <c r="Q533" s="28"/>
    </row>
    <row r="534" spans="1:17">
      <c r="A534" s="336"/>
      <c r="B534" s="334"/>
      <c r="C534" s="24"/>
      <c r="D534" s="11"/>
      <c r="E534" s="11"/>
      <c r="F534" s="351"/>
      <c r="G534" s="43"/>
      <c r="H534" s="10"/>
      <c r="I534" s="10"/>
      <c r="J534" s="10"/>
      <c r="K534" s="52"/>
      <c r="L534" s="49" t="str">
        <f t="shared" ref="L534:L537" si="246">IFERROR(AVERAGE(G534:K534)/60,"")</f>
        <v/>
      </c>
      <c r="M534" s="329"/>
      <c r="N534" s="329"/>
      <c r="O534" s="329"/>
      <c r="P534" s="341"/>
      <c r="Q534" s="29"/>
    </row>
    <row r="535" spans="1:17">
      <c r="A535" s="336"/>
      <c r="B535" s="334"/>
      <c r="C535" s="24"/>
      <c r="D535" s="11"/>
      <c r="E535" s="11"/>
      <c r="F535" s="351"/>
      <c r="G535" s="43"/>
      <c r="H535" s="10"/>
      <c r="I535" s="10"/>
      <c r="J535" s="10"/>
      <c r="K535" s="52"/>
      <c r="L535" s="49" t="str">
        <f t="shared" si="246"/>
        <v/>
      </c>
      <c r="M535" s="329"/>
      <c r="N535" s="329"/>
      <c r="O535" s="329"/>
      <c r="P535" s="341"/>
      <c r="Q535" s="29"/>
    </row>
    <row r="536" spans="1:17">
      <c r="A536" s="336"/>
      <c r="B536" s="334"/>
      <c r="C536" s="24"/>
      <c r="D536" s="11"/>
      <c r="E536" s="11"/>
      <c r="F536" s="351"/>
      <c r="G536" s="43"/>
      <c r="H536" s="10"/>
      <c r="I536" s="10"/>
      <c r="J536" s="10"/>
      <c r="K536" s="52"/>
      <c r="L536" s="49" t="str">
        <f t="shared" si="246"/>
        <v/>
      </c>
      <c r="M536" s="329"/>
      <c r="N536" s="329"/>
      <c r="O536" s="329"/>
      <c r="P536" s="341"/>
      <c r="Q536" s="29"/>
    </row>
    <row r="537" spans="1:17">
      <c r="A537" s="336"/>
      <c r="B537" s="334"/>
      <c r="C537" s="24"/>
      <c r="D537" s="11"/>
      <c r="E537" s="11"/>
      <c r="F537" s="351"/>
      <c r="G537" s="43"/>
      <c r="H537" s="10"/>
      <c r="I537" s="10"/>
      <c r="J537" s="10"/>
      <c r="K537" s="52"/>
      <c r="L537" s="49" t="str">
        <f t="shared" si="246"/>
        <v/>
      </c>
      <c r="M537" s="329"/>
      <c r="N537" s="329"/>
      <c r="O537" s="329"/>
      <c r="P537" s="341"/>
      <c r="Q537" s="29"/>
    </row>
    <row r="538" spans="1:17" ht="15" thickBot="1">
      <c r="A538" s="337"/>
      <c r="B538" s="327"/>
      <c r="C538" s="30"/>
      <c r="D538" s="26"/>
      <c r="E538" s="26"/>
      <c r="F538" s="352"/>
      <c r="G538" s="44"/>
      <c r="H538" s="46"/>
      <c r="I538" s="46"/>
      <c r="J538" s="46"/>
      <c r="K538" s="47"/>
      <c r="L538" s="50" t="str">
        <f>IFERROR(AVERAGE(G538:K538)/60,"")</f>
        <v/>
      </c>
      <c r="M538" s="330"/>
      <c r="N538" s="330"/>
      <c r="O538" s="330"/>
      <c r="P538" s="342"/>
      <c r="Q538" s="31"/>
    </row>
    <row r="539" spans="1:17">
      <c r="A539" s="335"/>
      <c r="B539" s="326"/>
      <c r="C539" s="27"/>
      <c r="D539" s="25"/>
      <c r="E539" s="25"/>
      <c r="F539" s="350">
        <f t="shared" ref="F539" si="247">SUM(E539:E544)</f>
        <v>0</v>
      </c>
      <c r="G539" s="42"/>
      <c r="H539" s="45"/>
      <c r="I539" s="45"/>
      <c r="J539" s="45"/>
      <c r="K539" s="51"/>
      <c r="L539" s="48" t="str">
        <f>IFERROR(AVERAGE(G539:K539)/60,"")</f>
        <v/>
      </c>
      <c r="M539" s="328">
        <f>SUM(L539:L544)</f>
        <v>0</v>
      </c>
      <c r="N539" s="328">
        <f>IFERROR(M539*1.1,"")</f>
        <v>0</v>
      </c>
      <c r="O539" s="328" t="str">
        <f>IFERROR(60/N539,"")</f>
        <v/>
      </c>
      <c r="P539" s="340" t="str">
        <f t="shared" ref="P539" si="248">IFERROR(SUM(E539:E544)*O539/60,"")</f>
        <v/>
      </c>
      <c r="Q539" s="28"/>
    </row>
    <row r="540" spans="1:17">
      <c r="A540" s="336"/>
      <c r="B540" s="334"/>
      <c r="C540" s="24"/>
      <c r="D540" s="11"/>
      <c r="E540" s="11"/>
      <c r="F540" s="351"/>
      <c r="G540" s="43"/>
      <c r="H540" s="10"/>
      <c r="I540" s="10"/>
      <c r="J540" s="10"/>
      <c r="K540" s="52"/>
      <c r="L540" s="49" t="str">
        <f t="shared" ref="L540:L543" si="249">IFERROR(AVERAGE(G540:K540)/60,"")</f>
        <v/>
      </c>
      <c r="M540" s="329"/>
      <c r="N540" s="329"/>
      <c r="O540" s="329"/>
      <c r="P540" s="341"/>
      <c r="Q540" s="29"/>
    </row>
    <row r="541" spans="1:17">
      <c r="A541" s="336"/>
      <c r="B541" s="334"/>
      <c r="C541" s="24"/>
      <c r="D541" s="11"/>
      <c r="E541" s="11"/>
      <c r="F541" s="351"/>
      <c r="G541" s="43"/>
      <c r="H541" s="10"/>
      <c r="I541" s="10"/>
      <c r="J541" s="10"/>
      <c r="K541" s="52"/>
      <c r="L541" s="49" t="str">
        <f t="shared" si="249"/>
        <v/>
      </c>
      <c r="M541" s="329"/>
      <c r="N541" s="329"/>
      <c r="O541" s="329"/>
      <c r="P541" s="341"/>
      <c r="Q541" s="29"/>
    </row>
    <row r="542" spans="1:17">
      <c r="A542" s="336"/>
      <c r="B542" s="334"/>
      <c r="C542" s="24"/>
      <c r="D542" s="11"/>
      <c r="E542" s="11"/>
      <c r="F542" s="351"/>
      <c r="G542" s="43"/>
      <c r="H542" s="10"/>
      <c r="I542" s="10"/>
      <c r="J542" s="10"/>
      <c r="K542" s="52"/>
      <c r="L542" s="49" t="str">
        <f t="shared" si="249"/>
        <v/>
      </c>
      <c r="M542" s="329"/>
      <c r="N542" s="329"/>
      <c r="O542" s="329"/>
      <c r="P542" s="341"/>
      <c r="Q542" s="29"/>
    </row>
    <row r="543" spans="1:17">
      <c r="A543" s="336"/>
      <c r="B543" s="334"/>
      <c r="C543" s="24"/>
      <c r="D543" s="11"/>
      <c r="E543" s="11"/>
      <c r="F543" s="351"/>
      <c r="G543" s="43"/>
      <c r="H543" s="10"/>
      <c r="I543" s="10"/>
      <c r="J543" s="10"/>
      <c r="K543" s="52"/>
      <c r="L543" s="49" t="str">
        <f t="shared" si="249"/>
        <v/>
      </c>
      <c r="M543" s="329"/>
      <c r="N543" s="329"/>
      <c r="O543" s="329"/>
      <c r="P543" s="341"/>
      <c r="Q543" s="29"/>
    </row>
    <row r="544" spans="1:17" ht="15" thickBot="1">
      <c r="A544" s="337"/>
      <c r="B544" s="327"/>
      <c r="C544" s="30"/>
      <c r="D544" s="26"/>
      <c r="E544" s="26"/>
      <c r="F544" s="352"/>
      <c r="G544" s="44"/>
      <c r="H544" s="46"/>
      <c r="I544" s="46"/>
      <c r="J544" s="46"/>
      <c r="K544" s="47"/>
      <c r="L544" s="50" t="str">
        <f>IFERROR(AVERAGE(G544:K544)/60,"")</f>
        <v/>
      </c>
      <c r="M544" s="330"/>
      <c r="N544" s="330"/>
      <c r="O544" s="330"/>
      <c r="P544" s="342"/>
      <c r="Q544" s="31"/>
    </row>
    <row r="545" spans="1:17">
      <c r="A545" s="335"/>
      <c r="B545" s="326"/>
      <c r="C545" s="27"/>
      <c r="D545" s="25"/>
      <c r="E545" s="25"/>
      <c r="F545" s="350">
        <f t="shared" ref="F545" si="250">SUM(E545:E550)</f>
        <v>0</v>
      </c>
      <c r="G545" s="42"/>
      <c r="H545" s="45"/>
      <c r="I545" s="45"/>
      <c r="J545" s="45"/>
      <c r="K545" s="51"/>
      <c r="L545" s="48" t="str">
        <f>IFERROR(AVERAGE(G545:K545)/60,"")</f>
        <v/>
      </c>
      <c r="M545" s="328">
        <f>SUM(L545:L550)</f>
        <v>0</v>
      </c>
      <c r="N545" s="328">
        <f>IFERROR(M545*1.1,"")</f>
        <v>0</v>
      </c>
      <c r="O545" s="328" t="str">
        <f>IFERROR(60/N545,"")</f>
        <v/>
      </c>
      <c r="P545" s="340" t="str">
        <f>IFERROR(SUM(E545:E550)*O545/60,"")</f>
        <v/>
      </c>
      <c r="Q545" s="28"/>
    </row>
    <row r="546" spans="1:17">
      <c r="A546" s="336"/>
      <c r="B546" s="334"/>
      <c r="C546" s="24"/>
      <c r="D546" s="11"/>
      <c r="E546" s="11"/>
      <c r="F546" s="351"/>
      <c r="G546" s="43"/>
      <c r="H546" s="10"/>
      <c r="I546" s="10"/>
      <c r="J546" s="10"/>
      <c r="K546" s="52"/>
      <c r="L546" s="49" t="str">
        <f t="shared" ref="L546:L549" si="251">IFERROR(AVERAGE(G546:K546)/60,"")</f>
        <v/>
      </c>
      <c r="M546" s="329"/>
      <c r="N546" s="329"/>
      <c r="O546" s="329"/>
      <c r="P546" s="341"/>
      <c r="Q546" s="29"/>
    </row>
    <row r="547" spans="1:17">
      <c r="A547" s="336"/>
      <c r="B547" s="334"/>
      <c r="C547" s="24"/>
      <c r="D547" s="11"/>
      <c r="E547" s="11"/>
      <c r="F547" s="351"/>
      <c r="G547" s="43"/>
      <c r="H547" s="10"/>
      <c r="I547" s="10"/>
      <c r="J547" s="10"/>
      <c r="K547" s="52"/>
      <c r="L547" s="49" t="str">
        <f t="shared" si="251"/>
        <v/>
      </c>
      <c r="M547" s="329"/>
      <c r="N547" s="329"/>
      <c r="O547" s="329"/>
      <c r="P547" s="341"/>
      <c r="Q547" s="29"/>
    </row>
    <row r="548" spans="1:17">
      <c r="A548" s="336"/>
      <c r="B548" s="334"/>
      <c r="C548" s="24"/>
      <c r="D548" s="11"/>
      <c r="E548" s="11"/>
      <c r="F548" s="351"/>
      <c r="G548" s="43"/>
      <c r="H548" s="10"/>
      <c r="I548" s="10"/>
      <c r="J548" s="10"/>
      <c r="K548" s="52"/>
      <c r="L548" s="49" t="str">
        <f t="shared" si="251"/>
        <v/>
      </c>
      <c r="M548" s="329"/>
      <c r="N548" s="329"/>
      <c r="O548" s="329"/>
      <c r="P548" s="341"/>
      <c r="Q548" s="29"/>
    </row>
    <row r="549" spans="1:17">
      <c r="A549" s="336"/>
      <c r="B549" s="334"/>
      <c r="C549" s="24"/>
      <c r="D549" s="11"/>
      <c r="E549" s="11"/>
      <c r="F549" s="351"/>
      <c r="G549" s="43"/>
      <c r="H549" s="10"/>
      <c r="I549" s="10"/>
      <c r="J549" s="10"/>
      <c r="K549" s="52"/>
      <c r="L549" s="49" t="str">
        <f t="shared" si="251"/>
        <v/>
      </c>
      <c r="M549" s="329"/>
      <c r="N549" s="329"/>
      <c r="O549" s="329"/>
      <c r="P549" s="341"/>
      <c r="Q549" s="29"/>
    </row>
    <row r="550" spans="1:17" ht="15" thickBot="1">
      <c r="A550" s="337"/>
      <c r="B550" s="327"/>
      <c r="C550" s="30"/>
      <c r="D550" s="26"/>
      <c r="E550" s="26"/>
      <c r="F550" s="352"/>
      <c r="G550" s="44"/>
      <c r="H550" s="46"/>
      <c r="I550" s="46"/>
      <c r="J550" s="46"/>
      <c r="K550" s="47"/>
      <c r="L550" s="50" t="str">
        <f>IFERROR(AVERAGE(G550:K550)/60,"")</f>
        <v/>
      </c>
      <c r="M550" s="330"/>
      <c r="N550" s="330"/>
      <c r="O550" s="330"/>
      <c r="P550" s="342"/>
      <c r="Q550" s="31"/>
    </row>
    <row r="551" spans="1:17">
      <c r="A551" s="335"/>
      <c r="B551" s="326"/>
      <c r="C551" s="27"/>
      <c r="D551" s="25"/>
      <c r="E551" s="25"/>
      <c r="F551" s="350">
        <f t="shared" ref="F551" si="252">SUM(E551:E556)</f>
        <v>0</v>
      </c>
      <c r="G551" s="42"/>
      <c r="H551" s="45"/>
      <c r="I551" s="45"/>
      <c r="J551" s="45"/>
      <c r="K551" s="51"/>
      <c r="L551" s="48" t="str">
        <f>IFERROR(AVERAGE(G551:K551)/60,"")</f>
        <v/>
      </c>
      <c r="M551" s="328">
        <f>SUM(L551:L556)</f>
        <v>0</v>
      </c>
      <c r="N551" s="328">
        <f>IFERROR(M551*1.1,"")</f>
        <v>0</v>
      </c>
      <c r="O551" s="328" t="str">
        <f>IFERROR(60/N551,"")</f>
        <v/>
      </c>
      <c r="P551" s="340" t="str">
        <f t="shared" ref="P551" si="253">IFERROR(SUM(E551:E556)*O551/60,"")</f>
        <v/>
      </c>
      <c r="Q551" s="28"/>
    </row>
    <row r="552" spans="1:17">
      <c r="A552" s="336"/>
      <c r="B552" s="334"/>
      <c r="C552" s="24"/>
      <c r="D552" s="11"/>
      <c r="E552" s="11"/>
      <c r="F552" s="351"/>
      <c r="G552" s="43"/>
      <c r="H552" s="10"/>
      <c r="I552" s="10"/>
      <c r="J552" s="10"/>
      <c r="K552" s="52"/>
      <c r="L552" s="49" t="str">
        <f t="shared" ref="L552:L555" si="254">IFERROR(AVERAGE(G552:K552)/60,"")</f>
        <v/>
      </c>
      <c r="M552" s="329"/>
      <c r="N552" s="329"/>
      <c r="O552" s="329"/>
      <c r="P552" s="341"/>
      <c r="Q552" s="29"/>
    </row>
    <row r="553" spans="1:17">
      <c r="A553" s="336"/>
      <c r="B553" s="334"/>
      <c r="C553" s="24"/>
      <c r="D553" s="11"/>
      <c r="E553" s="11"/>
      <c r="F553" s="351"/>
      <c r="G553" s="43"/>
      <c r="H553" s="10"/>
      <c r="I553" s="10"/>
      <c r="J553" s="10"/>
      <c r="K553" s="52"/>
      <c r="L553" s="49" t="str">
        <f t="shared" si="254"/>
        <v/>
      </c>
      <c r="M553" s="329"/>
      <c r="N553" s="329"/>
      <c r="O553" s="329"/>
      <c r="P553" s="341"/>
      <c r="Q553" s="29"/>
    </row>
    <row r="554" spans="1:17">
      <c r="A554" s="336"/>
      <c r="B554" s="334"/>
      <c r="C554" s="24"/>
      <c r="D554" s="11"/>
      <c r="E554" s="11"/>
      <c r="F554" s="351"/>
      <c r="G554" s="43"/>
      <c r="H554" s="10"/>
      <c r="I554" s="10"/>
      <c r="J554" s="10"/>
      <c r="K554" s="52"/>
      <c r="L554" s="49" t="str">
        <f t="shared" si="254"/>
        <v/>
      </c>
      <c r="M554" s="329"/>
      <c r="N554" s="329"/>
      <c r="O554" s="329"/>
      <c r="P554" s="341"/>
      <c r="Q554" s="29"/>
    </row>
    <row r="555" spans="1:17">
      <c r="A555" s="336"/>
      <c r="B555" s="334"/>
      <c r="C555" s="24"/>
      <c r="D555" s="11"/>
      <c r="E555" s="11"/>
      <c r="F555" s="351"/>
      <c r="G555" s="43"/>
      <c r="H555" s="10"/>
      <c r="I555" s="10"/>
      <c r="J555" s="10"/>
      <c r="K555" s="52"/>
      <c r="L555" s="49" t="str">
        <f t="shared" si="254"/>
        <v/>
      </c>
      <c r="M555" s="329"/>
      <c r="N555" s="329"/>
      <c r="O555" s="329"/>
      <c r="P555" s="341"/>
      <c r="Q555" s="29"/>
    </row>
    <row r="556" spans="1:17" ht="15" thickBot="1">
      <c r="A556" s="337"/>
      <c r="B556" s="327"/>
      <c r="C556" s="30"/>
      <c r="D556" s="26"/>
      <c r="E556" s="26"/>
      <c r="F556" s="352"/>
      <c r="G556" s="44"/>
      <c r="H556" s="46"/>
      <c r="I556" s="46"/>
      <c r="J556" s="46"/>
      <c r="K556" s="47"/>
      <c r="L556" s="50" t="str">
        <f>IFERROR(AVERAGE(G556:K556)/60,"")</f>
        <v/>
      </c>
      <c r="M556" s="330"/>
      <c r="N556" s="330"/>
      <c r="O556" s="330"/>
      <c r="P556" s="342"/>
      <c r="Q556" s="31"/>
    </row>
    <row r="557" spans="1:17">
      <c r="A557" s="335"/>
      <c r="B557" s="326"/>
      <c r="C557" s="27"/>
      <c r="D557" s="25"/>
      <c r="E557" s="25"/>
      <c r="F557" s="350">
        <f t="shared" ref="F557" si="255">SUM(E557:E562)</f>
        <v>0</v>
      </c>
      <c r="G557" s="42"/>
      <c r="H557" s="45"/>
      <c r="I557" s="45"/>
      <c r="J557" s="45"/>
      <c r="K557" s="51"/>
      <c r="L557" s="48" t="str">
        <f>IFERROR(AVERAGE(G557:K557)/60,"")</f>
        <v/>
      </c>
      <c r="M557" s="328">
        <f>SUM(L557:L562)</f>
        <v>0</v>
      </c>
      <c r="N557" s="328">
        <f>IFERROR(M557*1.1,"")</f>
        <v>0</v>
      </c>
      <c r="O557" s="328" t="str">
        <f>IFERROR(60/N557,"")</f>
        <v/>
      </c>
      <c r="P557" s="340" t="str">
        <f t="shared" ref="P557" si="256">IFERROR(SUM(E557:E562)*O557/60,"")</f>
        <v/>
      </c>
      <c r="Q557" s="28"/>
    </row>
    <row r="558" spans="1:17">
      <c r="A558" s="336"/>
      <c r="B558" s="334"/>
      <c r="C558" s="24"/>
      <c r="D558" s="11"/>
      <c r="E558" s="11"/>
      <c r="F558" s="351"/>
      <c r="G558" s="43"/>
      <c r="H558" s="10"/>
      <c r="I558" s="10"/>
      <c r="J558" s="10"/>
      <c r="K558" s="52"/>
      <c r="L558" s="49" t="str">
        <f t="shared" ref="L558:L561" si="257">IFERROR(AVERAGE(G558:K558)/60,"")</f>
        <v/>
      </c>
      <c r="M558" s="329"/>
      <c r="N558" s="329"/>
      <c r="O558" s="329"/>
      <c r="P558" s="341"/>
      <c r="Q558" s="29"/>
    </row>
    <row r="559" spans="1:17">
      <c r="A559" s="336"/>
      <c r="B559" s="334"/>
      <c r="C559" s="24"/>
      <c r="D559" s="11"/>
      <c r="E559" s="11"/>
      <c r="F559" s="351"/>
      <c r="G559" s="43"/>
      <c r="H559" s="10"/>
      <c r="I559" s="10"/>
      <c r="J559" s="10"/>
      <c r="K559" s="52"/>
      <c r="L559" s="49" t="str">
        <f t="shared" si="257"/>
        <v/>
      </c>
      <c r="M559" s="329"/>
      <c r="N559" s="329"/>
      <c r="O559" s="329"/>
      <c r="P559" s="341"/>
      <c r="Q559" s="29"/>
    </row>
    <row r="560" spans="1:17">
      <c r="A560" s="336"/>
      <c r="B560" s="334"/>
      <c r="C560" s="24"/>
      <c r="D560" s="11"/>
      <c r="E560" s="11"/>
      <c r="F560" s="351"/>
      <c r="G560" s="43"/>
      <c r="H560" s="10"/>
      <c r="I560" s="10"/>
      <c r="J560" s="10"/>
      <c r="K560" s="52"/>
      <c r="L560" s="49" t="str">
        <f t="shared" si="257"/>
        <v/>
      </c>
      <c r="M560" s="329"/>
      <c r="N560" s="329"/>
      <c r="O560" s="329"/>
      <c r="P560" s="341"/>
      <c r="Q560" s="29"/>
    </row>
    <row r="561" spans="1:17">
      <c r="A561" s="336"/>
      <c r="B561" s="334"/>
      <c r="C561" s="24"/>
      <c r="D561" s="11"/>
      <c r="E561" s="11"/>
      <c r="F561" s="351"/>
      <c r="G561" s="43"/>
      <c r="H561" s="10"/>
      <c r="I561" s="10"/>
      <c r="J561" s="10"/>
      <c r="K561" s="52"/>
      <c r="L561" s="49" t="str">
        <f t="shared" si="257"/>
        <v/>
      </c>
      <c r="M561" s="329"/>
      <c r="N561" s="329"/>
      <c r="O561" s="329"/>
      <c r="P561" s="341"/>
      <c r="Q561" s="29"/>
    </row>
    <row r="562" spans="1:17" ht="15" thickBot="1">
      <c r="A562" s="337"/>
      <c r="B562" s="327"/>
      <c r="C562" s="30"/>
      <c r="D562" s="26"/>
      <c r="E562" s="26"/>
      <c r="F562" s="352"/>
      <c r="G562" s="44"/>
      <c r="H562" s="46"/>
      <c r="I562" s="46"/>
      <c r="J562" s="46"/>
      <c r="K562" s="47"/>
      <c r="L562" s="50" t="str">
        <f>IFERROR(AVERAGE(G562:K562)/60,"")</f>
        <v/>
      </c>
      <c r="M562" s="330"/>
      <c r="N562" s="330"/>
      <c r="O562" s="330"/>
      <c r="P562" s="342"/>
      <c r="Q562" s="31"/>
    </row>
    <row r="563" spans="1:17">
      <c r="A563" s="335"/>
      <c r="B563" s="326"/>
      <c r="C563" s="27"/>
      <c r="D563" s="25"/>
      <c r="E563" s="25"/>
      <c r="F563" s="350">
        <f t="shared" ref="F563" si="258">SUM(E563:E568)</f>
        <v>0</v>
      </c>
      <c r="G563" s="42"/>
      <c r="H563" s="45"/>
      <c r="I563" s="45"/>
      <c r="J563" s="45"/>
      <c r="K563" s="51"/>
      <c r="L563" s="48" t="str">
        <f>IFERROR(AVERAGE(G563:K563)/60,"")</f>
        <v/>
      </c>
      <c r="M563" s="328">
        <f>SUM(L563:L568)</f>
        <v>0</v>
      </c>
      <c r="N563" s="328">
        <f>IFERROR(M563*1.1,"")</f>
        <v>0</v>
      </c>
      <c r="O563" s="328" t="str">
        <f>IFERROR(60/N563,"")</f>
        <v/>
      </c>
      <c r="P563" s="340" t="str">
        <f t="shared" ref="P563" si="259">IFERROR(SUM(E563:E568)*O563/60,"")</f>
        <v/>
      </c>
      <c r="Q563" s="28"/>
    </row>
    <row r="564" spans="1:17">
      <c r="A564" s="336"/>
      <c r="B564" s="334"/>
      <c r="C564" s="24"/>
      <c r="D564" s="11"/>
      <c r="E564" s="11"/>
      <c r="F564" s="351"/>
      <c r="G564" s="43"/>
      <c r="H564" s="10"/>
      <c r="I564" s="10"/>
      <c r="J564" s="10"/>
      <c r="K564" s="52"/>
      <c r="L564" s="49" t="str">
        <f t="shared" ref="L564:L567" si="260">IFERROR(AVERAGE(G564:K564)/60,"")</f>
        <v/>
      </c>
      <c r="M564" s="329"/>
      <c r="N564" s="329"/>
      <c r="O564" s="329"/>
      <c r="P564" s="341"/>
      <c r="Q564" s="29"/>
    </row>
    <row r="565" spans="1:17">
      <c r="A565" s="336"/>
      <c r="B565" s="334"/>
      <c r="C565" s="24"/>
      <c r="D565" s="11"/>
      <c r="E565" s="11"/>
      <c r="F565" s="351"/>
      <c r="G565" s="43"/>
      <c r="H565" s="10"/>
      <c r="I565" s="10"/>
      <c r="J565" s="10"/>
      <c r="K565" s="52"/>
      <c r="L565" s="49" t="str">
        <f t="shared" si="260"/>
        <v/>
      </c>
      <c r="M565" s="329"/>
      <c r="N565" s="329"/>
      <c r="O565" s="329"/>
      <c r="P565" s="341"/>
      <c r="Q565" s="29"/>
    </row>
    <row r="566" spans="1:17">
      <c r="A566" s="336"/>
      <c r="B566" s="334"/>
      <c r="C566" s="24"/>
      <c r="D566" s="11"/>
      <c r="E566" s="11"/>
      <c r="F566" s="351"/>
      <c r="G566" s="43"/>
      <c r="H566" s="10"/>
      <c r="I566" s="10"/>
      <c r="J566" s="10"/>
      <c r="K566" s="52"/>
      <c r="L566" s="49" t="str">
        <f t="shared" si="260"/>
        <v/>
      </c>
      <c r="M566" s="329"/>
      <c r="N566" s="329"/>
      <c r="O566" s="329"/>
      <c r="P566" s="341"/>
      <c r="Q566" s="29"/>
    </row>
    <row r="567" spans="1:17">
      <c r="A567" s="336"/>
      <c r="B567" s="334"/>
      <c r="C567" s="24"/>
      <c r="D567" s="11"/>
      <c r="E567" s="11"/>
      <c r="F567" s="351"/>
      <c r="G567" s="43"/>
      <c r="H567" s="10"/>
      <c r="I567" s="10"/>
      <c r="J567" s="10"/>
      <c r="K567" s="52"/>
      <c r="L567" s="49" t="str">
        <f t="shared" si="260"/>
        <v/>
      </c>
      <c r="M567" s="329"/>
      <c r="N567" s="329"/>
      <c r="O567" s="329"/>
      <c r="P567" s="341"/>
      <c r="Q567" s="29"/>
    </row>
    <row r="568" spans="1:17" ht="15" thickBot="1">
      <c r="A568" s="337"/>
      <c r="B568" s="327"/>
      <c r="C568" s="30"/>
      <c r="D568" s="26"/>
      <c r="E568" s="26"/>
      <c r="F568" s="352"/>
      <c r="G568" s="44"/>
      <c r="H568" s="46"/>
      <c r="I568" s="46"/>
      <c r="J568" s="46"/>
      <c r="K568" s="47"/>
      <c r="L568" s="50" t="str">
        <f>IFERROR(AVERAGE(G568:K568)/60,"")</f>
        <v/>
      </c>
      <c r="M568" s="330"/>
      <c r="N568" s="330"/>
      <c r="O568" s="330"/>
      <c r="P568" s="342"/>
      <c r="Q568" s="31"/>
    </row>
    <row r="569" spans="1:17">
      <c r="A569" s="335"/>
      <c r="B569" s="326"/>
      <c r="C569" s="27"/>
      <c r="D569" s="25"/>
      <c r="E569" s="25"/>
      <c r="F569" s="350">
        <f t="shared" ref="F569" si="261">SUM(E569:E574)</f>
        <v>0</v>
      </c>
      <c r="G569" s="42"/>
      <c r="H569" s="45"/>
      <c r="I569" s="45"/>
      <c r="J569" s="45"/>
      <c r="K569" s="51"/>
      <c r="L569" s="48" t="str">
        <f>IFERROR(AVERAGE(G569:K569)/60,"")</f>
        <v/>
      </c>
      <c r="M569" s="328">
        <f>SUM(L569:L574)</f>
        <v>0</v>
      </c>
      <c r="N569" s="328">
        <f>IFERROR(M569*1.1,"")</f>
        <v>0</v>
      </c>
      <c r="O569" s="328" t="str">
        <f>IFERROR(60/N569,"")</f>
        <v/>
      </c>
      <c r="P569" s="340" t="str">
        <f t="shared" ref="P569" si="262">IFERROR(SUM(E569:E574)*O569/60,"")</f>
        <v/>
      </c>
      <c r="Q569" s="28"/>
    </row>
    <row r="570" spans="1:17">
      <c r="A570" s="336"/>
      <c r="B570" s="334"/>
      <c r="C570" s="24"/>
      <c r="D570" s="11"/>
      <c r="E570" s="11"/>
      <c r="F570" s="351"/>
      <c r="G570" s="43"/>
      <c r="H570" s="10"/>
      <c r="I570" s="10"/>
      <c r="J570" s="10"/>
      <c r="K570" s="52"/>
      <c r="L570" s="49" t="str">
        <f t="shared" ref="L570:L573" si="263">IFERROR(AVERAGE(G570:K570)/60,"")</f>
        <v/>
      </c>
      <c r="M570" s="329"/>
      <c r="N570" s="329"/>
      <c r="O570" s="329"/>
      <c r="P570" s="341"/>
      <c r="Q570" s="29"/>
    </row>
    <row r="571" spans="1:17">
      <c r="A571" s="336"/>
      <c r="B571" s="334"/>
      <c r="C571" s="24"/>
      <c r="D571" s="11"/>
      <c r="E571" s="11"/>
      <c r="F571" s="351"/>
      <c r="G571" s="43"/>
      <c r="H571" s="10"/>
      <c r="I571" s="10"/>
      <c r="J571" s="10"/>
      <c r="K571" s="52"/>
      <c r="L571" s="49" t="str">
        <f t="shared" si="263"/>
        <v/>
      </c>
      <c r="M571" s="329"/>
      <c r="N571" s="329"/>
      <c r="O571" s="329"/>
      <c r="P571" s="341"/>
      <c r="Q571" s="29"/>
    </row>
    <row r="572" spans="1:17">
      <c r="A572" s="336"/>
      <c r="B572" s="334"/>
      <c r="C572" s="24"/>
      <c r="D572" s="11"/>
      <c r="E572" s="11"/>
      <c r="F572" s="351"/>
      <c r="G572" s="43"/>
      <c r="H572" s="10"/>
      <c r="I572" s="10"/>
      <c r="J572" s="10"/>
      <c r="K572" s="52"/>
      <c r="L572" s="49" t="str">
        <f t="shared" si="263"/>
        <v/>
      </c>
      <c r="M572" s="329"/>
      <c r="N572" s="329"/>
      <c r="O572" s="329"/>
      <c r="P572" s="341"/>
      <c r="Q572" s="29"/>
    </row>
    <row r="573" spans="1:17">
      <c r="A573" s="336"/>
      <c r="B573" s="334"/>
      <c r="C573" s="24"/>
      <c r="D573" s="11"/>
      <c r="E573" s="11"/>
      <c r="F573" s="351"/>
      <c r="G573" s="43"/>
      <c r="H573" s="10"/>
      <c r="I573" s="10"/>
      <c r="J573" s="10"/>
      <c r="K573" s="52"/>
      <c r="L573" s="49" t="str">
        <f t="shared" si="263"/>
        <v/>
      </c>
      <c r="M573" s="329"/>
      <c r="N573" s="329"/>
      <c r="O573" s="329"/>
      <c r="P573" s="341"/>
      <c r="Q573" s="29"/>
    </row>
    <row r="574" spans="1:17" ht="15" thickBot="1">
      <c r="A574" s="337"/>
      <c r="B574" s="327"/>
      <c r="C574" s="30"/>
      <c r="D574" s="26"/>
      <c r="E574" s="26"/>
      <c r="F574" s="352"/>
      <c r="G574" s="44"/>
      <c r="H574" s="46"/>
      <c r="I574" s="46"/>
      <c r="J574" s="46"/>
      <c r="K574" s="47"/>
      <c r="L574" s="50" t="str">
        <f>IFERROR(AVERAGE(G574:K574)/60,"")</f>
        <v/>
      </c>
      <c r="M574" s="330"/>
      <c r="N574" s="330"/>
      <c r="O574" s="330"/>
      <c r="P574" s="342"/>
      <c r="Q574" s="31"/>
    </row>
    <row r="575" spans="1:17">
      <c r="A575" s="335"/>
      <c r="B575" s="326"/>
      <c r="C575" s="27"/>
      <c r="D575" s="25"/>
      <c r="E575" s="25"/>
      <c r="F575" s="350">
        <f t="shared" ref="F575" si="264">SUM(E575:E580)</f>
        <v>0</v>
      </c>
      <c r="G575" s="42"/>
      <c r="H575" s="45"/>
      <c r="I575" s="45"/>
      <c r="J575" s="45"/>
      <c r="K575" s="51"/>
      <c r="L575" s="48" t="str">
        <f>IFERROR(AVERAGE(G575:K575)/60,"")</f>
        <v/>
      </c>
      <c r="M575" s="328">
        <f>SUM(L575:L580)</f>
        <v>0</v>
      </c>
      <c r="N575" s="328">
        <f>IFERROR(M575*1.1,"")</f>
        <v>0</v>
      </c>
      <c r="O575" s="328" t="str">
        <f>IFERROR(60/N575,"")</f>
        <v/>
      </c>
      <c r="P575" s="340" t="str">
        <f>IFERROR(SUM(E575:E580)*O575/60,"")</f>
        <v/>
      </c>
      <c r="Q575" s="28"/>
    </row>
    <row r="576" spans="1:17">
      <c r="A576" s="336"/>
      <c r="B576" s="334"/>
      <c r="C576" s="24"/>
      <c r="D576" s="11"/>
      <c r="E576" s="11"/>
      <c r="F576" s="351"/>
      <c r="G576" s="43"/>
      <c r="H576" s="10"/>
      <c r="I576" s="10"/>
      <c r="J576" s="10"/>
      <c r="K576" s="52"/>
      <c r="L576" s="49" t="str">
        <f t="shared" ref="L576:L579" si="265">IFERROR(AVERAGE(G576:K576)/60,"")</f>
        <v/>
      </c>
      <c r="M576" s="329"/>
      <c r="N576" s="329"/>
      <c r="O576" s="329"/>
      <c r="P576" s="341"/>
      <c r="Q576" s="29"/>
    </row>
    <row r="577" spans="1:17">
      <c r="A577" s="336"/>
      <c r="B577" s="334"/>
      <c r="C577" s="24"/>
      <c r="D577" s="11"/>
      <c r="E577" s="11"/>
      <c r="F577" s="351"/>
      <c r="G577" s="43"/>
      <c r="H577" s="10"/>
      <c r="I577" s="10"/>
      <c r="J577" s="10"/>
      <c r="K577" s="52"/>
      <c r="L577" s="49" t="str">
        <f t="shared" si="265"/>
        <v/>
      </c>
      <c r="M577" s="329"/>
      <c r="N577" s="329"/>
      <c r="O577" s="329"/>
      <c r="P577" s="341"/>
      <c r="Q577" s="29"/>
    </row>
    <row r="578" spans="1:17">
      <c r="A578" s="336"/>
      <c r="B578" s="334"/>
      <c r="C578" s="24"/>
      <c r="D578" s="11"/>
      <c r="E578" s="11"/>
      <c r="F578" s="351"/>
      <c r="G578" s="43"/>
      <c r="H578" s="10"/>
      <c r="I578" s="10"/>
      <c r="J578" s="10"/>
      <c r="K578" s="52"/>
      <c r="L578" s="49" t="str">
        <f t="shared" si="265"/>
        <v/>
      </c>
      <c r="M578" s="329"/>
      <c r="N578" s="329"/>
      <c r="O578" s="329"/>
      <c r="P578" s="341"/>
      <c r="Q578" s="29"/>
    </row>
    <row r="579" spans="1:17">
      <c r="A579" s="336"/>
      <c r="B579" s="334"/>
      <c r="C579" s="24"/>
      <c r="D579" s="11"/>
      <c r="E579" s="11"/>
      <c r="F579" s="351"/>
      <c r="G579" s="43"/>
      <c r="H579" s="10"/>
      <c r="I579" s="10"/>
      <c r="J579" s="10"/>
      <c r="K579" s="52"/>
      <c r="L579" s="49" t="str">
        <f t="shared" si="265"/>
        <v/>
      </c>
      <c r="M579" s="329"/>
      <c r="N579" s="329"/>
      <c r="O579" s="329"/>
      <c r="P579" s="341"/>
      <c r="Q579" s="29"/>
    </row>
    <row r="580" spans="1:17" ht="15" thickBot="1">
      <c r="A580" s="337"/>
      <c r="B580" s="327"/>
      <c r="C580" s="30"/>
      <c r="D580" s="26"/>
      <c r="E580" s="26"/>
      <c r="F580" s="352"/>
      <c r="G580" s="44"/>
      <c r="H580" s="46"/>
      <c r="I580" s="46"/>
      <c r="J580" s="46"/>
      <c r="K580" s="47"/>
      <c r="L580" s="50" t="str">
        <f>IFERROR(AVERAGE(G580:K580)/60,"")</f>
        <v/>
      </c>
      <c r="M580" s="330"/>
      <c r="N580" s="330"/>
      <c r="O580" s="330"/>
      <c r="P580" s="342"/>
      <c r="Q580" s="31"/>
    </row>
    <row r="581" spans="1:17">
      <c r="A581" s="335"/>
      <c r="B581" s="326"/>
      <c r="C581" s="27"/>
      <c r="D581" s="25"/>
      <c r="E581" s="25"/>
      <c r="F581" s="350">
        <f t="shared" ref="F581" si="266">SUM(E581:E586)</f>
        <v>0</v>
      </c>
      <c r="G581" s="42"/>
      <c r="H581" s="45"/>
      <c r="I581" s="45"/>
      <c r="J581" s="45"/>
      <c r="K581" s="51"/>
      <c r="L581" s="48" t="str">
        <f>IFERROR(AVERAGE(G581:K581)/60,"")</f>
        <v/>
      </c>
      <c r="M581" s="328">
        <f>SUM(L581:L586)</f>
        <v>0</v>
      </c>
      <c r="N581" s="328">
        <f>IFERROR(M581*1.1,"")</f>
        <v>0</v>
      </c>
      <c r="O581" s="328" t="str">
        <f>IFERROR(60/N581,"")</f>
        <v/>
      </c>
      <c r="P581" s="340" t="str">
        <f t="shared" ref="P581" si="267">IFERROR(SUM(E581:E586)*O581/60,"")</f>
        <v/>
      </c>
      <c r="Q581" s="28"/>
    </row>
    <row r="582" spans="1:17">
      <c r="A582" s="336"/>
      <c r="B582" s="334"/>
      <c r="C582" s="24"/>
      <c r="D582" s="11"/>
      <c r="E582" s="11"/>
      <c r="F582" s="351"/>
      <c r="G582" s="43"/>
      <c r="H582" s="10"/>
      <c r="I582" s="10"/>
      <c r="J582" s="10"/>
      <c r="K582" s="52"/>
      <c r="L582" s="49" t="str">
        <f t="shared" ref="L582:L585" si="268">IFERROR(AVERAGE(G582:K582)/60,"")</f>
        <v/>
      </c>
      <c r="M582" s="329"/>
      <c r="N582" s="329"/>
      <c r="O582" s="329"/>
      <c r="P582" s="341"/>
      <c r="Q582" s="29"/>
    </row>
    <row r="583" spans="1:17">
      <c r="A583" s="336"/>
      <c r="B583" s="334"/>
      <c r="C583" s="24"/>
      <c r="D583" s="11"/>
      <c r="E583" s="11"/>
      <c r="F583" s="351"/>
      <c r="G583" s="43"/>
      <c r="H583" s="10"/>
      <c r="I583" s="10"/>
      <c r="J583" s="10"/>
      <c r="K583" s="52"/>
      <c r="L583" s="49" t="str">
        <f t="shared" si="268"/>
        <v/>
      </c>
      <c r="M583" s="329"/>
      <c r="N583" s="329"/>
      <c r="O583" s="329"/>
      <c r="P583" s="341"/>
      <c r="Q583" s="29"/>
    </row>
    <row r="584" spans="1:17">
      <c r="A584" s="336"/>
      <c r="B584" s="334"/>
      <c r="C584" s="24"/>
      <c r="D584" s="11"/>
      <c r="E584" s="11"/>
      <c r="F584" s="351"/>
      <c r="G584" s="43"/>
      <c r="H584" s="10"/>
      <c r="I584" s="10"/>
      <c r="J584" s="10"/>
      <c r="K584" s="52"/>
      <c r="L584" s="49" t="str">
        <f t="shared" si="268"/>
        <v/>
      </c>
      <c r="M584" s="329"/>
      <c r="N584" s="329"/>
      <c r="O584" s="329"/>
      <c r="P584" s="341"/>
      <c r="Q584" s="29"/>
    </row>
    <row r="585" spans="1:17">
      <c r="A585" s="336"/>
      <c r="B585" s="334"/>
      <c r="C585" s="24"/>
      <c r="D585" s="11"/>
      <c r="E585" s="11"/>
      <c r="F585" s="351"/>
      <c r="G585" s="43"/>
      <c r="H585" s="10"/>
      <c r="I585" s="10"/>
      <c r="J585" s="10"/>
      <c r="K585" s="52"/>
      <c r="L585" s="49" t="str">
        <f t="shared" si="268"/>
        <v/>
      </c>
      <c r="M585" s="329"/>
      <c r="N585" s="329"/>
      <c r="O585" s="329"/>
      <c r="P585" s="341"/>
      <c r="Q585" s="29"/>
    </row>
    <row r="586" spans="1:17" ht="15" thickBot="1">
      <c r="A586" s="337"/>
      <c r="B586" s="327"/>
      <c r="C586" s="30"/>
      <c r="D586" s="26"/>
      <c r="E586" s="26"/>
      <c r="F586" s="352"/>
      <c r="G586" s="44"/>
      <c r="H586" s="46"/>
      <c r="I586" s="46"/>
      <c r="J586" s="46"/>
      <c r="K586" s="47"/>
      <c r="L586" s="50" t="str">
        <f>IFERROR(AVERAGE(G586:K586)/60,"")</f>
        <v/>
      </c>
      <c r="M586" s="330"/>
      <c r="N586" s="330"/>
      <c r="O586" s="330"/>
      <c r="P586" s="342"/>
      <c r="Q586" s="31"/>
    </row>
    <row r="587" spans="1:17">
      <c r="A587" s="335"/>
      <c r="B587" s="326"/>
      <c r="C587" s="27"/>
      <c r="D587" s="25"/>
      <c r="E587" s="25"/>
      <c r="F587" s="350">
        <f t="shared" ref="F587" si="269">SUM(E587:E592)</f>
        <v>0</v>
      </c>
      <c r="G587" s="42"/>
      <c r="H587" s="45"/>
      <c r="I587" s="45"/>
      <c r="J587" s="45"/>
      <c r="K587" s="51"/>
      <c r="L587" s="48" t="str">
        <f>IFERROR(AVERAGE(G587:K587)/60,"")</f>
        <v/>
      </c>
      <c r="M587" s="328">
        <f>SUM(L587:L592)</f>
        <v>0</v>
      </c>
      <c r="N587" s="328">
        <f>IFERROR(M587*1.1,"")</f>
        <v>0</v>
      </c>
      <c r="O587" s="328" t="str">
        <f>IFERROR(60/N587,"")</f>
        <v/>
      </c>
      <c r="P587" s="340" t="str">
        <f t="shared" ref="P587" si="270">IFERROR(SUM(E587:E592)*O587/60,"")</f>
        <v/>
      </c>
      <c r="Q587" s="28"/>
    </row>
    <row r="588" spans="1:17">
      <c r="A588" s="336"/>
      <c r="B588" s="334"/>
      <c r="C588" s="24"/>
      <c r="D588" s="11"/>
      <c r="E588" s="11"/>
      <c r="F588" s="351"/>
      <c r="G588" s="43"/>
      <c r="H588" s="10"/>
      <c r="I588" s="10"/>
      <c r="J588" s="10"/>
      <c r="K588" s="52"/>
      <c r="L588" s="49" t="str">
        <f t="shared" ref="L588:L591" si="271">IFERROR(AVERAGE(G588:K588)/60,"")</f>
        <v/>
      </c>
      <c r="M588" s="329"/>
      <c r="N588" s="329"/>
      <c r="O588" s="329"/>
      <c r="P588" s="341"/>
      <c r="Q588" s="29"/>
    </row>
    <row r="589" spans="1:17">
      <c r="A589" s="336"/>
      <c r="B589" s="334"/>
      <c r="C589" s="24"/>
      <c r="D589" s="11"/>
      <c r="E589" s="11"/>
      <c r="F589" s="351"/>
      <c r="G589" s="43"/>
      <c r="H589" s="10"/>
      <c r="I589" s="10"/>
      <c r="J589" s="10"/>
      <c r="K589" s="52"/>
      <c r="L589" s="49" t="str">
        <f t="shared" si="271"/>
        <v/>
      </c>
      <c r="M589" s="329"/>
      <c r="N589" s="329"/>
      <c r="O589" s="329"/>
      <c r="P589" s="341"/>
      <c r="Q589" s="29"/>
    </row>
    <row r="590" spans="1:17">
      <c r="A590" s="336"/>
      <c r="B590" s="334"/>
      <c r="C590" s="24"/>
      <c r="D590" s="11"/>
      <c r="E590" s="11"/>
      <c r="F590" s="351"/>
      <c r="G590" s="43"/>
      <c r="H590" s="10"/>
      <c r="I590" s="10"/>
      <c r="J590" s="10"/>
      <c r="K590" s="52"/>
      <c r="L590" s="49" t="str">
        <f t="shared" si="271"/>
        <v/>
      </c>
      <c r="M590" s="329"/>
      <c r="N590" s="329"/>
      <c r="O590" s="329"/>
      <c r="P590" s="341"/>
      <c r="Q590" s="29"/>
    </row>
    <row r="591" spans="1:17">
      <c r="A591" s="336"/>
      <c r="B591" s="334"/>
      <c r="C591" s="24"/>
      <c r="D591" s="11"/>
      <c r="E591" s="11"/>
      <c r="F591" s="351"/>
      <c r="G591" s="43"/>
      <c r="H591" s="10"/>
      <c r="I591" s="10"/>
      <c r="J591" s="10"/>
      <c r="K591" s="52"/>
      <c r="L591" s="49" t="str">
        <f t="shared" si="271"/>
        <v/>
      </c>
      <c r="M591" s="329"/>
      <c r="N591" s="329"/>
      <c r="O591" s="329"/>
      <c r="P591" s="341"/>
      <c r="Q591" s="29"/>
    </row>
    <row r="592" spans="1:17" ht="15" thickBot="1">
      <c r="A592" s="337"/>
      <c r="B592" s="327"/>
      <c r="C592" s="30"/>
      <c r="D592" s="26"/>
      <c r="E592" s="26"/>
      <c r="F592" s="352"/>
      <c r="G592" s="44"/>
      <c r="H592" s="46"/>
      <c r="I592" s="46"/>
      <c r="J592" s="46"/>
      <c r="K592" s="47"/>
      <c r="L592" s="50" t="str">
        <f>IFERROR(AVERAGE(G592:K592)/60,"")</f>
        <v/>
      </c>
      <c r="M592" s="330"/>
      <c r="N592" s="330"/>
      <c r="O592" s="330"/>
      <c r="P592" s="342"/>
      <c r="Q592" s="31"/>
    </row>
    <row r="593" spans="1:17">
      <c r="A593" s="335"/>
      <c r="B593" s="326"/>
      <c r="C593" s="27"/>
      <c r="D593" s="25"/>
      <c r="E593" s="25"/>
      <c r="F593" s="350">
        <f t="shared" ref="F593" si="272">SUM(E593:E598)</f>
        <v>0</v>
      </c>
      <c r="G593" s="42"/>
      <c r="H593" s="45"/>
      <c r="I593" s="45"/>
      <c r="J593" s="45"/>
      <c r="K593" s="51"/>
      <c r="L593" s="48" t="str">
        <f>IFERROR(AVERAGE(G593:K593)/60,"")</f>
        <v/>
      </c>
      <c r="M593" s="328">
        <f>SUM(L593:L598)</f>
        <v>0</v>
      </c>
      <c r="N593" s="328">
        <f>IFERROR(M593*1.1,"")</f>
        <v>0</v>
      </c>
      <c r="O593" s="328" t="str">
        <f>IFERROR(60/N593,"")</f>
        <v/>
      </c>
      <c r="P593" s="340" t="str">
        <f t="shared" ref="P593" si="273">IFERROR(SUM(E593:E598)*O593/60,"")</f>
        <v/>
      </c>
      <c r="Q593" s="28"/>
    </row>
    <row r="594" spans="1:17">
      <c r="A594" s="336"/>
      <c r="B594" s="334"/>
      <c r="C594" s="24"/>
      <c r="D594" s="11"/>
      <c r="E594" s="11"/>
      <c r="F594" s="351"/>
      <c r="G594" s="43"/>
      <c r="H594" s="10"/>
      <c r="I594" s="10"/>
      <c r="J594" s="10"/>
      <c r="K594" s="52"/>
      <c r="L594" s="49" t="str">
        <f t="shared" ref="L594:L597" si="274">IFERROR(AVERAGE(G594:K594)/60,"")</f>
        <v/>
      </c>
      <c r="M594" s="329"/>
      <c r="N594" s="329"/>
      <c r="O594" s="329"/>
      <c r="P594" s="341"/>
      <c r="Q594" s="29"/>
    </row>
    <row r="595" spans="1:17">
      <c r="A595" s="336"/>
      <c r="B595" s="334"/>
      <c r="C595" s="24"/>
      <c r="D595" s="11"/>
      <c r="E595" s="11"/>
      <c r="F595" s="351"/>
      <c r="G595" s="43"/>
      <c r="H595" s="10"/>
      <c r="I595" s="10"/>
      <c r="J595" s="10"/>
      <c r="K595" s="52"/>
      <c r="L595" s="49" t="str">
        <f t="shared" si="274"/>
        <v/>
      </c>
      <c r="M595" s="329"/>
      <c r="N595" s="329"/>
      <c r="O595" s="329"/>
      <c r="P595" s="341"/>
      <c r="Q595" s="29"/>
    </row>
    <row r="596" spans="1:17">
      <c r="A596" s="336"/>
      <c r="B596" s="334"/>
      <c r="C596" s="24"/>
      <c r="D596" s="11"/>
      <c r="E596" s="11"/>
      <c r="F596" s="351"/>
      <c r="G596" s="43"/>
      <c r="H596" s="10"/>
      <c r="I596" s="10"/>
      <c r="J596" s="10"/>
      <c r="K596" s="52"/>
      <c r="L596" s="49" t="str">
        <f t="shared" si="274"/>
        <v/>
      </c>
      <c r="M596" s="329"/>
      <c r="N596" s="329"/>
      <c r="O596" s="329"/>
      <c r="P596" s="341"/>
      <c r="Q596" s="29"/>
    </row>
    <row r="597" spans="1:17">
      <c r="A597" s="336"/>
      <c r="B597" s="334"/>
      <c r="C597" s="24"/>
      <c r="D597" s="11"/>
      <c r="E597" s="11"/>
      <c r="F597" s="351"/>
      <c r="G597" s="43"/>
      <c r="H597" s="10"/>
      <c r="I597" s="10"/>
      <c r="J597" s="10"/>
      <c r="K597" s="52"/>
      <c r="L597" s="49" t="str">
        <f t="shared" si="274"/>
        <v/>
      </c>
      <c r="M597" s="329"/>
      <c r="N597" s="329"/>
      <c r="O597" s="329"/>
      <c r="P597" s="341"/>
      <c r="Q597" s="29"/>
    </row>
    <row r="598" spans="1:17" ht="15" thickBot="1">
      <c r="A598" s="337"/>
      <c r="B598" s="327"/>
      <c r="C598" s="30"/>
      <c r="D598" s="26"/>
      <c r="E598" s="26"/>
      <c r="F598" s="352"/>
      <c r="G598" s="44"/>
      <c r="H598" s="46"/>
      <c r="I598" s="46"/>
      <c r="J598" s="46"/>
      <c r="K598" s="47"/>
      <c r="L598" s="50" t="str">
        <f>IFERROR(AVERAGE(G598:K598)/60,"")</f>
        <v/>
      </c>
      <c r="M598" s="330"/>
      <c r="N598" s="330"/>
      <c r="O598" s="330"/>
      <c r="P598" s="342"/>
      <c r="Q598" s="31"/>
    </row>
    <row r="599" spans="1:17">
      <c r="A599" s="335"/>
      <c r="B599" s="326"/>
      <c r="C599" s="27"/>
      <c r="D599" s="25"/>
      <c r="E599" s="25"/>
      <c r="F599" s="350">
        <f t="shared" ref="F599" si="275">SUM(E599:E604)</f>
        <v>0</v>
      </c>
      <c r="G599" s="42"/>
      <c r="H599" s="45"/>
      <c r="I599" s="45"/>
      <c r="J599" s="45"/>
      <c r="K599" s="51"/>
      <c r="L599" s="48" t="str">
        <f>IFERROR(AVERAGE(G599:K599)/60,"")</f>
        <v/>
      </c>
      <c r="M599" s="328">
        <f>SUM(L599:L604)</f>
        <v>0</v>
      </c>
      <c r="N599" s="328">
        <f>IFERROR(M599*1.1,"")</f>
        <v>0</v>
      </c>
      <c r="O599" s="328" t="str">
        <f>IFERROR(60/N599,"")</f>
        <v/>
      </c>
      <c r="P599" s="340" t="str">
        <f t="shared" ref="P599" si="276">IFERROR(SUM(E599:E604)*O599/60,"")</f>
        <v/>
      </c>
      <c r="Q599" s="28"/>
    </row>
    <row r="600" spans="1:17">
      <c r="A600" s="336"/>
      <c r="B600" s="334"/>
      <c r="C600" s="24"/>
      <c r="D600" s="11"/>
      <c r="E600" s="11"/>
      <c r="F600" s="351"/>
      <c r="G600" s="43"/>
      <c r="H600" s="10"/>
      <c r="I600" s="10"/>
      <c r="J600" s="10"/>
      <c r="K600" s="52"/>
      <c r="L600" s="49" t="str">
        <f t="shared" ref="L600:L603" si="277">IFERROR(AVERAGE(G600:K600)/60,"")</f>
        <v/>
      </c>
      <c r="M600" s="329"/>
      <c r="N600" s="329"/>
      <c r="O600" s="329"/>
      <c r="P600" s="341"/>
      <c r="Q600" s="29"/>
    </row>
    <row r="601" spans="1:17">
      <c r="A601" s="336"/>
      <c r="B601" s="334"/>
      <c r="C601" s="24"/>
      <c r="D601" s="11"/>
      <c r="E601" s="11"/>
      <c r="F601" s="351"/>
      <c r="G601" s="43"/>
      <c r="H601" s="10"/>
      <c r="I601" s="10"/>
      <c r="J601" s="10"/>
      <c r="K601" s="52"/>
      <c r="L601" s="49" t="str">
        <f t="shared" si="277"/>
        <v/>
      </c>
      <c r="M601" s="329"/>
      <c r="N601" s="329"/>
      <c r="O601" s="329"/>
      <c r="P601" s="341"/>
      <c r="Q601" s="29"/>
    </row>
    <row r="602" spans="1:17">
      <c r="A602" s="336"/>
      <c r="B602" s="334"/>
      <c r="C602" s="24"/>
      <c r="D602" s="11"/>
      <c r="E602" s="11"/>
      <c r="F602" s="351"/>
      <c r="G602" s="43"/>
      <c r="H602" s="10"/>
      <c r="I602" s="10"/>
      <c r="J602" s="10"/>
      <c r="K602" s="52"/>
      <c r="L602" s="49" t="str">
        <f t="shared" si="277"/>
        <v/>
      </c>
      <c r="M602" s="329"/>
      <c r="N602" s="329"/>
      <c r="O602" s="329"/>
      <c r="P602" s="341"/>
      <c r="Q602" s="29"/>
    </row>
    <row r="603" spans="1:17">
      <c r="A603" s="336"/>
      <c r="B603" s="334"/>
      <c r="C603" s="24"/>
      <c r="D603" s="11"/>
      <c r="E603" s="11"/>
      <c r="F603" s="351"/>
      <c r="G603" s="43"/>
      <c r="H603" s="10"/>
      <c r="I603" s="10"/>
      <c r="J603" s="10"/>
      <c r="K603" s="52"/>
      <c r="L603" s="49" t="str">
        <f t="shared" si="277"/>
        <v/>
      </c>
      <c r="M603" s="329"/>
      <c r="N603" s="329"/>
      <c r="O603" s="329"/>
      <c r="P603" s="341"/>
      <c r="Q603" s="29"/>
    </row>
    <row r="604" spans="1:17" ht="15" thickBot="1">
      <c r="A604" s="337"/>
      <c r="B604" s="327"/>
      <c r="C604" s="30"/>
      <c r="D604" s="26"/>
      <c r="E604" s="26"/>
      <c r="F604" s="352"/>
      <c r="G604" s="44"/>
      <c r="H604" s="46"/>
      <c r="I604" s="46"/>
      <c r="J604" s="46"/>
      <c r="K604" s="47"/>
      <c r="L604" s="50" t="str">
        <f>IFERROR(AVERAGE(G604:K604)/60,"")</f>
        <v/>
      </c>
      <c r="M604" s="330"/>
      <c r="N604" s="330"/>
      <c r="O604" s="330"/>
      <c r="P604" s="342"/>
      <c r="Q604" s="31"/>
    </row>
  </sheetData>
  <mergeCells count="714">
    <mergeCell ref="F3:F4"/>
    <mergeCell ref="F5:F10"/>
    <mergeCell ref="F11:F16"/>
    <mergeCell ref="F17:F22"/>
    <mergeCell ref="F23:F28"/>
    <mergeCell ref="F29:F34"/>
    <mergeCell ref="F35:F40"/>
    <mergeCell ref="F41:F46"/>
    <mergeCell ref="F47:F52"/>
    <mergeCell ref="P593:P598"/>
    <mergeCell ref="A599:A604"/>
    <mergeCell ref="B599:B604"/>
    <mergeCell ref="M599:M604"/>
    <mergeCell ref="N599:N604"/>
    <mergeCell ref="O599:O604"/>
    <mergeCell ref="P599:P604"/>
    <mergeCell ref="A593:A598"/>
    <mergeCell ref="B593:B598"/>
    <mergeCell ref="M593:M598"/>
    <mergeCell ref="N593:N598"/>
    <mergeCell ref="O593:O598"/>
    <mergeCell ref="F593:F598"/>
    <mergeCell ref="F599:F604"/>
    <mergeCell ref="P581:P586"/>
    <mergeCell ref="A587:A592"/>
    <mergeCell ref="B587:B592"/>
    <mergeCell ref="M587:M592"/>
    <mergeCell ref="N587:N592"/>
    <mergeCell ref="O587:O592"/>
    <mergeCell ref="P587:P592"/>
    <mergeCell ref="A581:A586"/>
    <mergeCell ref="B581:B586"/>
    <mergeCell ref="M581:M586"/>
    <mergeCell ref="N581:N586"/>
    <mergeCell ref="O581:O586"/>
    <mergeCell ref="F581:F586"/>
    <mergeCell ref="F587:F592"/>
    <mergeCell ref="P569:P574"/>
    <mergeCell ref="A575:A580"/>
    <mergeCell ref="B575:B580"/>
    <mergeCell ref="M575:M580"/>
    <mergeCell ref="N575:N580"/>
    <mergeCell ref="O575:O580"/>
    <mergeCell ref="P575:P580"/>
    <mergeCell ref="A569:A574"/>
    <mergeCell ref="B569:B574"/>
    <mergeCell ref="M569:M574"/>
    <mergeCell ref="N569:N574"/>
    <mergeCell ref="O569:O574"/>
    <mergeCell ref="F569:F574"/>
    <mergeCell ref="F575:F580"/>
    <mergeCell ref="P557:P562"/>
    <mergeCell ref="A563:A568"/>
    <mergeCell ref="B563:B568"/>
    <mergeCell ref="M563:M568"/>
    <mergeCell ref="N563:N568"/>
    <mergeCell ref="O563:O568"/>
    <mergeCell ref="P563:P568"/>
    <mergeCell ref="A557:A562"/>
    <mergeCell ref="B557:B562"/>
    <mergeCell ref="M557:M562"/>
    <mergeCell ref="N557:N562"/>
    <mergeCell ref="O557:O562"/>
    <mergeCell ref="F557:F562"/>
    <mergeCell ref="F563:F568"/>
    <mergeCell ref="P545:P550"/>
    <mergeCell ref="A551:A556"/>
    <mergeCell ref="B551:B556"/>
    <mergeCell ref="M551:M556"/>
    <mergeCell ref="N551:N556"/>
    <mergeCell ref="O551:O556"/>
    <mergeCell ref="P551:P556"/>
    <mergeCell ref="A545:A550"/>
    <mergeCell ref="B545:B550"/>
    <mergeCell ref="M545:M550"/>
    <mergeCell ref="N545:N550"/>
    <mergeCell ref="O545:O550"/>
    <mergeCell ref="F545:F550"/>
    <mergeCell ref="F551:F556"/>
    <mergeCell ref="P533:P538"/>
    <mergeCell ref="A539:A544"/>
    <mergeCell ref="B539:B544"/>
    <mergeCell ref="M539:M544"/>
    <mergeCell ref="N539:N544"/>
    <mergeCell ref="O539:O544"/>
    <mergeCell ref="P539:P544"/>
    <mergeCell ref="A533:A538"/>
    <mergeCell ref="B533:B538"/>
    <mergeCell ref="M533:M538"/>
    <mergeCell ref="N533:N538"/>
    <mergeCell ref="O533:O538"/>
    <mergeCell ref="F533:F538"/>
    <mergeCell ref="F539:F544"/>
    <mergeCell ref="P521:P526"/>
    <mergeCell ref="A527:A532"/>
    <mergeCell ref="B527:B532"/>
    <mergeCell ref="M527:M532"/>
    <mergeCell ref="N527:N532"/>
    <mergeCell ref="O527:O532"/>
    <mergeCell ref="P527:P532"/>
    <mergeCell ref="A521:A526"/>
    <mergeCell ref="B521:B526"/>
    <mergeCell ref="M521:M526"/>
    <mergeCell ref="N521:N526"/>
    <mergeCell ref="O521:O526"/>
    <mergeCell ref="F521:F526"/>
    <mergeCell ref="F527:F532"/>
    <mergeCell ref="P509:P514"/>
    <mergeCell ref="A515:A520"/>
    <mergeCell ref="B515:B520"/>
    <mergeCell ref="M515:M520"/>
    <mergeCell ref="N515:N520"/>
    <mergeCell ref="O515:O520"/>
    <mergeCell ref="P515:P520"/>
    <mergeCell ref="A509:A514"/>
    <mergeCell ref="B509:B514"/>
    <mergeCell ref="M509:M514"/>
    <mergeCell ref="N509:N514"/>
    <mergeCell ref="O509:O514"/>
    <mergeCell ref="F509:F514"/>
    <mergeCell ref="F515:F520"/>
    <mergeCell ref="P497:P502"/>
    <mergeCell ref="A503:A508"/>
    <mergeCell ref="B503:B508"/>
    <mergeCell ref="M503:M508"/>
    <mergeCell ref="N503:N508"/>
    <mergeCell ref="O503:O508"/>
    <mergeCell ref="P503:P508"/>
    <mergeCell ref="A497:A502"/>
    <mergeCell ref="B497:B502"/>
    <mergeCell ref="M497:M502"/>
    <mergeCell ref="N497:N502"/>
    <mergeCell ref="O497:O502"/>
    <mergeCell ref="F497:F502"/>
    <mergeCell ref="F503:F508"/>
    <mergeCell ref="P485:P490"/>
    <mergeCell ref="A491:A496"/>
    <mergeCell ref="B491:B496"/>
    <mergeCell ref="M491:M496"/>
    <mergeCell ref="N491:N496"/>
    <mergeCell ref="O491:O496"/>
    <mergeCell ref="P491:P496"/>
    <mergeCell ref="A485:A490"/>
    <mergeCell ref="B485:B490"/>
    <mergeCell ref="M485:M490"/>
    <mergeCell ref="N485:N490"/>
    <mergeCell ref="O485:O490"/>
    <mergeCell ref="F485:F490"/>
    <mergeCell ref="F491:F496"/>
    <mergeCell ref="P473:P478"/>
    <mergeCell ref="A479:A484"/>
    <mergeCell ref="B479:B484"/>
    <mergeCell ref="M479:M484"/>
    <mergeCell ref="N479:N484"/>
    <mergeCell ref="O479:O484"/>
    <mergeCell ref="P479:P484"/>
    <mergeCell ref="A473:A478"/>
    <mergeCell ref="B473:B478"/>
    <mergeCell ref="M473:M478"/>
    <mergeCell ref="N473:N478"/>
    <mergeCell ref="O473:O478"/>
    <mergeCell ref="F473:F478"/>
    <mergeCell ref="F479:F484"/>
    <mergeCell ref="P461:P466"/>
    <mergeCell ref="A467:A472"/>
    <mergeCell ref="B467:B472"/>
    <mergeCell ref="M467:M472"/>
    <mergeCell ref="N467:N472"/>
    <mergeCell ref="O467:O472"/>
    <mergeCell ref="P467:P472"/>
    <mergeCell ref="A461:A466"/>
    <mergeCell ref="B461:B466"/>
    <mergeCell ref="M461:M466"/>
    <mergeCell ref="N461:N466"/>
    <mergeCell ref="O461:O466"/>
    <mergeCell ref="F461:F466"/>
    <mergeCell ref="F467:F472"/>
    <mergeCell ref="P449:P454"/>
    <mergeCell ref="A455:A460"/>
    <mergeCell ref="B455:B460"/>
    <mergeCell ref="M455:M460"/>
    <mergeCell ref="N455:N460"/>
    <mergeCell ref="O455:O460"/>
    <mergeCell ref="P455:P460"/>
    <mergeCell ref="A449:A454"/>
    <mergeCell ref="B449:B454"/>
    <mergeCell ref="M449:M454"/>
    <mergeCell ref="N449:N454"/>
    <mergeCell ref="O449:O454"/>
    <mergeCell ref="F449:F454"/>
    <mergeCell ref="F455:F460"/>
    <mergeCell ref="P437:P442"/>
    <mergeCell ref="A443:A448"/>
    <mergeCell ref="B443:B448"/>
    <mergeCell ref="M443:M448"/>
    <mergeCell ref="N443:N448"/>
    <mergeCell ref="O443:O448"/>
    <mergeCell ref="P443:P448"/>
    <mergeCell ref="A437:A442"/>
    <mergeCell ref="B437:B442"/>
    <mergeCell ref="M437:M442"/>
    <mergeCell ref="N437:N442"/>
    <mergeCell ref="O437:O442"/>
    <mergeCell ref="F437:F442"/>
    <mergeCell ref="F443:F448"/>
    <mergeCell ref="P425:P430"/>
    <mergeCell ref="A431:A436"/>
    <mergeCell ref="B431:B436"/>
    <mergeCell ref="M431:M436"/>
    <mergeCell ref="N431:N436"/>
    <mergeCell ref="O431:O436"/>
    <mergeCell ref="P431:P436"/>
    <mergeCell ref="A425:A430"/>
    <mergeCell ref="B425:B430"/>
    <mergeCell ref="M425:M430"/>
    <mergeCell ref="N425:N430"/>
    <mergeCell ref="O425:O430"/>
    <mergeCell ref="F425:F430"/>
    <mergeCell ref="F431:F436"/>
    <mergeCell ref="P413:P418"/>
    <mergeCell ref="A419:A424"/>
    <mergeCell ref="B419:B424"/>
    <mergeCell ref="M419:M424"/>
    <mergeCell ref="N419:N424"/>
    <mergeCell ref="O419:O424"/>
    <mergeCell ref="P419:P424"/>
    <mergeCell ref="A413:A418"/>
    <mergeCell ref="B413:B418"/>
    <mergeCell ref="M413:M418"/>
    <mergeCell ref="N413:N418"/>
    <mergeCell ref="O413:O418"/>
    <mergeCell ref="F413:F418"/>
    <mergeCell ref="F419:F424"/>
    <mergeCell ref="P401:P406"/>
    <mergeCell ref="A407:A412"/>
    <mergeCell ref="B407:B412"/>
    <mergeCell ref="M407:M412"/>
    <mergeCell ref="N407:N412"/>
    <mergeCell ref="O407:O412"/>
    <mergeCell ref="P407:P412"/>
    <mergeCell ref="A401:A406"/>
    <mergeCell ref="B401:B406"/>
    <mergeCell ref="M401:M406"/>
    <mergeCell ref="N401:N406"/>
    <mergeCell ref="O401:O406"/>
    <mergeCell ref="F401:F406"/>
    <mergeCell ref="F407:F412"/>
    <mergeCell ref="P389:P394"/>
    <mergeCell ref="A395:A400"/>
    <mergeCell ref="B395:B400"/>
    <mergeCell ref="M395:M400"/>
    <mergeCell ref="N395:N400"/>
    <mergeCell ref="O395:O400"/>
    <mergeCell ref="P395:P400"/>
    <mergeCell ref="A389:A394"/>
    <mergeCell ref="B389:B394"/>
    <mergeCell ref="M389:M394"/>
    <mergeCell ref="N389:N394"/>
    <mergeCell ref="O389:O394"/>
    <mergeCell ref="F389:F394"/>
    <mergeCell ref="F395:F400"/>
    <mergeCell ref="P377:P382"/>
    <mergeCell ref="A383:A388"/>
    <mergeCell ref="B383:B388"/>
    <mergeCell ref="M383:M388"/>
    <mergeCell ref="N383:N388"/>
    <mergeCell ref="O383:O388"/>
    <mergeCell ref="P383:P388"/>
    <mergeCell ref="A377:A382"/>
    <mergeCell ref="B377:B382"/>
    <mergeCell ref="M377:M382"/>
    <mergeCell ref="N377:N382"/>
    <mergeCell ref="O377:O382"/>
    <mergeCell ref="F377:F382"/>
    <mergeCell ref="F383:F388"/>
    <mergeCell ref="P365:P370"/>
    <mergeCell ref="A371:A376"/>
    <mergeCell ref="B371:B376"/>
    <mergeCell ref="M371:M376"/>
    <mergeCell ref="N371:N376"/>
    <mergeCell ref="O371:O376"/>
    <mergeCell ref="P371:P376"/>
    <mergeCell ref="A365:A370"/>
    <mergeCell ref="B365:B370"/>
    <mergeCell ref="M365:M370"/>
    <mergeCell ref="N365:N370"/>
    <mergeCell ref="O365:O370"/>
    <mergeCell ref="F365:F370"/>
    <mergeCell ref="F371:F376"/>
    <mergeCell ref="P353:P358"/>
    <mergeCell ref="A359:A364"/>
    <mergeCell ref="B359:B364"/>
    <mergeCell ref="M359:M364"/>
    <mergeCell ref="N359:N364"/>
    <mergeCell ref="O359:O364"/>
    <mergeCell ref="P359:P364"/>
    <mergeCell ref="A353:A358"/>
    <mergeCell ref="B353:B358"/>
    <mergeCell ref="M353:M358"/>
    <mergeCell ref="N353:N358"/>
    <mergeCell ref="O353:O358"/>
    <mergeCell ref="F353:F358"/>
    <mergeCell ref="F359:F364"/>
    <mergeCell ref="P341:P346"/>
    <mergeCell ref="A347:A352"/>
    <mergeCell ref="B347:B352"/>
    <mergeCell ref="M347:M352"/>
    <mergeCell ref="N347:N352"/>
    <mergeCell ref="O347:O352"/>
    <mergeCell ref="P347:P352"/>
    <mergeCell ref="A341:A346"/>
    <mergeCell ref="B341:B346"/>
    <mergeCell ref="M341:M346"/>
    <mergeCell ref="N341:N346"/>
    <mergeCell ref="O341:O346"/>
    <mergeCell ref="F341:F346"/>
    <mergeCell ref="F347:F352"/>
    <mergeCell ref="P329:P334"/>
    <mergeCell ref="A335:A340"/>
    <mergeCell ref="B335:B340"/>
    <mergeCell ref="M335:M340"/>
    <mergeCell ref="N335:N340"/>
    <mergeCell ref="O335:O340"/>
    <mergeCell ref="P335:P340"/>
    <mergeCell ref="A329:A334"/>
    <mergeCell ref="B329:B334"/>
    <mergeCell ref="M329:M334"/>
    <mergeCell ref="N329:N334"/>
    <mergeCell ref="O329:O334"/>
    <mergeCell ref="F329:F334"/>
    <mergeCell ref="F335:F340"/>
    <mergeCell ref="P317:P322"/>
    <mergeCell ref="A323:A328"/>
    <mergeCell ref="B323:B328"/>
    <mergeCell ref="M323:M328"/>
    <mergeCell ref="N323:N328"/>
    <mergeCell ref="O323:O328"/>
    <mergeCell ref="P323:P328"/>
    <mergeCell ref="A317:A322"/>
    <mergeCell ref="B317:B322"/>
    <mergeCell ref="M317:M322"/>
    <mergeCell ref="N317:N322"/>
    <mergeCell ref="O317:O322"/>
    <mergeCell ref="F317:F322"/>
    <mergeCell ref="F323:F328"/>
    <mergeCell ref="P305:P310"/>
    <mergeCell ref="A311:A316"/>
    <mergeCell ref="B311:B316"/>
    <mergeCell ref="M311:M316"/>
    <mergeCell ref="N311:N316"/>
    <mergeCell ref="O311:O316"/>
    <mergeCell ref="P311:P316"/>
    <mergeCell ref="A305:A310"/>
    <mergeCell ref="B305:B310"/>
    <mergeCell ref="M305:M310"/>
    <mergeCell ref="N305:N310"/>
    <mergeCell ref="O305:O310"/>
    <mergeCell ref="F305:F310"/>
    <mergeCell ref="F311:F316"/>
    <mergeCell ref="P293:P298"/>
    <mergeCell ref="A299:A304"/>
    <mergeCell ref="B299:B304"/>
    <mergeCell ref="M299:M304"/>
    <mergeCell ref="N299:N304"/>
    <mergeCell ref="O299:O304"/>
    <mergeCell ref="P299:P304"/>
    <mergeCell ref="A293:A298"/>
    <mergeCell ref="B293:B298"/>
    <mergeCell ref="M293:M298"/>
    <mergeCell ref="N293:N298"/>
    <mergeCell ref="O293:O298"/>
    <mergeCell ref="F293:F298"/>
    <mergeCell ref="F299:F304"/>
    <mergeCell ref="P281:P286"/>
    <mergeCell ref="A287:A292"/>
    <mergeCell ref="B287:B292"/>
    <mergeCell ref="M287:M292"/>
    <mergeCell ref="N287:N292"/>
    <mergeCell ref="O287:O292"/>
    <mergeCell ref="P287:P292"/>
    <mergeCell ref="A281:A286"/>
    <mergeCell ref="B281:B286"/>
    <mergeCell ref="M281:M286"/>
    <mergeCell ref="N281:N286"/>
    <mergeCell ref="O281:O286"/>
    <mergeCell ref="F281:F286"/>
    <mergeCell ref="F287:F292"/>
    <mergeCell ref="P269:P274"/>
    <mergeCell ref="A275:A280"/>
    <mergeCell ref="B275:B280"/>
    <mergeCell ref="M275:M280"/>
    <mergeCell ref="N275:N280"/>
    <mergeCell ref="O275:O280"/>
    <mergeCell ref="P275:P280"/>
    <mergeCell ref="A269:A274"/>
    <mergeCell ref="B269:B274"/>
    <mergeCell ref="M269:M274"/>
    <mergeCell ref="N269:N274"/>
    <mergeCell ref="O269:O274"/>
    <mergeCell ref="F269:F274"/>
    <mergeCell ref="F275:F280"/>
    <mergeCell ref="P257:P262"/>
    <mergeCell ref="A263:A268"/>
    <mergeCell ref="B263:B268"/>
    <mergeCell ref="M263:M268"/>
    <mergeCell ref="N263:N268"/>
    <mergeCell ref="O263:O268"/>
    <mergeCell ref="P263:P268"/>
    <mergeCell ref="A257:A262"/>
    <mergeCell ref="B257:B262"/>
    <mergeCell ref="M257:M262"/>
    <mergeCell ref="N257:N262"/>
    <mergeCell ref="O257:O262"/>
    <mergeCell ref="F257:F262"/>
    <mergeCell ref="F263:F268"/>
    <mergeCell ref="P245:P250"/>
    <mergeCell ref="A251:A256"/>
    <mergeCell ref="B251:B256"/>
    <mergeCell ref="M251:M256"/>
    <mergeCell ref="N251:N256"/>
    <mergeCell ref="O251:O256"/>
    <mergeCell ref="P251:P256"/>
    <mergeCell ref="A245:A250"/>
    <mergeCell ref="B245:B250"/>
    <mergeCell ref="M245:M250"/>
    <mergeCell ref="N245:N250"/>
    <mergeCell ref="O245:O250"/>
    <mergeCell ref="F245:F250"/>
    <mergeCell ref="F251:F256"/>
    <mergeCell ref="P233:P238"/>
    <mergeCell ref="A239:A244"/>
    <mergeCell ref="B239:B244"/>
    <mergeCell ref="M239:M244"/>
    <mergeCell ref="N239:N244"/>
    <mergeCell ref="O239:O244"/>
    <mergeCell ref="P239:P244"/>
    <mergeCell ref="A233:A238"/>
    <mergeCell ref="B233:B238"/>
    <mergeCell ref="M233:M238"/>
    <mergeCell ref="N233:N238"/>
    <mergeCell ref="O233:O238"/>
    <mergeCell ref="F233:F238"/>
    <mergeCell ref="F239:F244"/>
    <mergeCell ref="P221:P226"/>
    <mergeCell ref="A227:A232"/>
    <mergeCell ref="B227:B232"/>
    <mergeCell ref="M227:M232"/>
    <mergeCell ref="N227:N232"/>
    <mergeCell ref="O227:O232"/>
    <mergeCell ref="P227:P232"/>
    <mergeCell ref="A221:A226"/>
    <mergeCell ref="B221:B226"/>
    <mergeCell ref="M221:M226"/>
    <mergeCell ref="N221:N226"/>
    <mergeCell ref="O221:O226"/>
    <mergeCell ref="F221:F226"/>
    <mergeCell ref="F227:F232"/>
    <mergeCell ref="P209:P214"/>
    <mergeCell ref="A215:A220"/>
    <mergeCell ref="B215:B220"/>
    <mergeCell ref="M215:M220"/>
    <mergeCell ref="N215:N220"/>
    <mergeCell ref="O215:O220"/>
    <mergeCell ref="P215:P220"/>
    <mergeCell ref="A209:A214"/>
    <mergeCell ref="B209:B214"/>
    <mergeCell ref="M209:M214"/>
    <mergeCell ref="N209:N214"/>
    <mergeCell ref="O209:O214"/>
    <mergeCell ref="F209:F214"/>
    <mergeCell ref="F215:F220"/>
    <mergeCell ref="P197:P202"/>
    <mergeCell ref="A203:A208"/>
    <mergeCell ref="B203:B208"/>
    <mergeCell ref="M203:M208"/>
    <mergeCell ref="N203:N208"/>
    <mergeCell ref="O203:O208"/>
    <mergeCell ref="P203:P208"/>
    <mergeCell ref="A197:A202"/>
    <mergeCell ref="B197:B202"/>
    <mergeCell ref="M197:M202"/>
    <mergeCell ref="N197:N202"/>
    <mergeCell ref="O197:O202"/>
    <mergeCell ref="F197:F202"/>
    <mergeCell ref="F203:F208"/>
    <mergeCell ref="P185:P190"/>
    <mergeCell ref="A191:A196"/>
    <mergeCell ref="B191:B196"/>
    <mergeCell ref="M191:M196"/>
    <mergeCell ref="N191:N196"/>
    <mergeCell ref="O191:O196"/>
    <mergeCell ref="P191:P196"/>
    <mergeCell ref="A185:A190"/>
    <mergeCell ref="B185:B190"/>
    <mergeCell ref="M185:M190"/>
    <mergeCell ref="N185:N190"/>
    <mergeCell ref="O185:O190"/>
    <mergeCell ref="F185:F190"/>
    <mergeCell ref="F191:F196"/>
    <mergeCell ref="P173:P178"/>
    <mergeCell ref="A179:A184"/>
    <mergeCell ref="B179:B184"/>
    <mergeCell ref="M179:M184"/>
    <mergeCell ref="N179:N184"/>
    <mergeCell ref="O179:O184"/>
    <mergeCell ref="P179:P184"/>
    <mergeCell ref="A173:A178"/>
    <mergeCell ref="B173:B178"/>
    <mergeCell ref="M173:M178"/>
    <mergeCell ref="N173:N178"/>
    <mergeCell ref="O173:O178"/>
    <mergeCell ref="F173:F178"/>
    <mergeCell ref="F179:F184"/>
    <mergeCell ref="P161:P166"/>
    <mergeCell ref="A167:A172"/>
    <mergeCell ref="B167:B172"/>
    <mergeCell ref="M167:M172"/>
    <mergeCell ref="N167:N172"/>
    <mergeCell ref="O167:O172"/>
    <mergeCell ref="P167:P172"/>
    <mergeCell ref="A161:A166"/>
    <mergeCell ref="B161:B166"/>
    <mergeCell ref="M161:M166"/>
    <mergeCell ref="N161:N166"/>
    <mergeCell ref="O161:O166"/>
    <mergeCell ref="F161:F166"/>
    <mergeCell ref="F167:F172"/>
    <mergeCell ref="P149:P154"/>
    <mergeCell ref="A155:A160"/>
    <mergeCell ref="B155:B160"/>
    <mergeCell ref="M155:M160"/>
    <mergeCell ref="N155:N160"/>
    <mergeCell ref="O155:O160"/>
    <mergeCell ref="P155:P160"/>
    <mergeCell ref="A149:A154"/>
    <mergeCell ref="B149:B154"/>
    <mergeCell ref="M149:M154"/>
    <mergeCell ref="N149:N154"/>
    <mergeCell ref="O149:O154"/>
    <mergeCell ref="F149:F154"/>
    <mergeCell ref="F155:F160"/>
    <mergeCell ref="P137:P142"/>
    <mergeCell ref="A143:A148"/>
    <mergeCell ref="B143:B148"/>
    <mergeCell ref="M143:M148"/>
    <mergeCell ref="N143:N148"/>
    <mergeCell ref="O143:O148"/>
    <mergeCell ref="P143:P148"/>
    <mergeCell ref="A137:A142"/>
    <mergeCell ref="B137:B142"/>
    <mergeCell ref="M137:M142"/>
    <mergeCell ref="N137:N142"/>
    <mergeCell ref="O137:O142"/>
    <mergeCell ref="F137:F142"/>
    <mergeCell ref="F143:F148"/>
    <mergeCell ref="P125:P130"/>
    <mergeCell ref="A131:A136"/>
    <mergeCell ref="B131:B136"/>
    <mergeCell ref="M131:M136"/>
    <mergeCell ref="N131:N136"/>
    <mergeCell ref="O131:O136"/>
    <mergeCell ref="P131:P136"/>
    <mergeCell ref="A125:A130"/>
    <mergeCell ref="B125:B130"/>
    <mergeCell ref="M125:M130"/>
    <mergeCell ref="N125:N130"/>
    <mergeCell ref="O125:O130"/>
    <mergeCell ref="F125:F130"/>
    <mergeCell ref="F131:F136"/>
    <mergeCell ref="P113:P118"/>
    <mergeCell ref="A119:A124"/>
    <mergeCell ref="B119:B124"/>
    <mergeCell ref="M119:M124"/>
    <mergeCell ref="N119:N124"/>
    <mergeCell ref="O119:O124"/>
    <mergeCell ref="P119:P124"/>
    <mergeCell ref="A113:A118"/>
    <mergeCell ref="B113:B118"/>
    <mergeCell ref="M113:M118"/>
    <mergeCell ref="N113:N118"/>
    <mergeCell ref="O113:O118"/>
    <mergeCell ref="F113:F118"/>
    <mergeCell ref="F119:F124"/>
    <mergeCell ref="P101:P106"/>
    <mergeCell ref="A107:A112"/>
    <mergeCell ref="B107:B112"/>
    <mergeCell ref="M107:M112"/>
    <mergeCell ref="N107:N112"/>
    <mergeCell ref="O107:O112"/>
    <mergeCell ref="P107:P112"/>
    <mergeCell ref="A101:A106"/>
    <mergeCell ref="B101:B106"/>
    <mergeCell ref="M101:M106"/>
    <mergeCell ref="N101:N106"/>
    <mergeCell ref="O101:O106"/>
    <mergeCell ref="F101:F106"/>
    <mergeCell ref="F107:F112"/>
    <mergeCell ref="P89:P94"/>
    <mergeCell ref="A95:A100"/>
    <mergeCell ref="B95:B100"/>
    <mergeCell ref="M95:M100"/>
    <mergeCell ref="N95:N100"/>
    <mergeCell ref="O95:O100"/>
    <mergeCell ref="P95:P100"/>
    <mergeCell ref="A89:A94"/>
    <mergeCell ref="B89:B94"/>
    <mergeCell ref="M89:M94"/>
    <mergeCell ref="N89:N94"/>
    <mergeCell ref="O89:O94"/>
    <mergeCell ref="F89:F94"/>
    <mergeCell ref="F95:F100"/>
    <mergeCell ref="P77:P82"/>
    <mergeCell ref="A83:A88"/>
    <mergeCell ref="B83:B88"/>
    <mergeCell ref="M83:M88"/>
    <mergeCell ref="N83:N88"/>
    <mergeCell ref="O83:O88"/>
    <mergeCell ref="P83:P88"/>
    <mergeCell ref="A77:A82"/>
    <mergeCell ref="B77:B82"/>
    <mergeCell ref="M77:M82"/>
    <mergeCell ref="N77:N82"/>
    <mergeCell ref="O77:O82"/>
    <mergeCell ref="F77:F82"/>
    <mergeCell ref="F83:F88"/>
    <mergeCell ref="P65:P70"/>
    <mergeCell ref="A71:A76"/>
    <mergeCell ref="B71:B76"/>
    <mergeCell ref="M71:M76"/>
    <mergeCell ref="N71:N76"/>
    <mergeCell ref="O71:O76"/>
    <mergeCell ref="P71:P76"/>
    <mergeCell ref="A65:A70"/>
    <mergeCell ref="B65:B70"/>
    <mergeCell ref="M65:M70"/>
    <mergeCell ref="N65:N70"/>
    <mergeCell ref="O65:O70"/>
    <mergeCell ref="F65:F70"/>
    <mergeCell ref="F71:F76"/>
    <mergeCell ref="P53:P58"/>
    <mergeCell ref="A59:A64"/>
    <mergeCell ref="B59:B64"/>
    <mergeCell ref="M59:M64"/>
    <mergeCell ref="N59:N64"/>
    <mergeCell ref="O59:O64"/>
    <mergeCell ref="P59:P64"/>
    <mergeCell ref="A53:A58"/>
    <mergeCell ref="B53:B58"/>
    <mergeCell ref="M53:M58"/>
    <mergeCell ref="N53:N58"/>
    <mergeCell ref="O53:O58"/>
    <mergeCell ref="F53:F58"/>
    <mergeCell ref="F59:F64"/>
    <mergeCell ref="N17:N22"/>
    <mergeCell ref="P41:P46"/>
    <mergeCell ref="A47:A52"/>
    <mergeCell ref="B47:B52"/>
    <mergeCell ref="M47:M52"/>
    <mergeCell ref="N47:N52"/>
    <mergeCell ref="O47:O52"/>
    <mergeCell ref="P47:P52"/>
    <mergeCell ref="A41:A46"/>
    <mergeCell ref="B41:B46"/>
    <mergeCell ref="M41:M46"/>
    <mergeCell ref="N41:N46"/>
    <mergeCell ref="O41:O46"/>
    <mergeCell ref="G3:K3"/>
    <mergeCell ref="D3:D4"/>
    <mergeCell ref="P29:P34"/>
    <mergeCell ref="A35:A40"/>
    <mergeCell ref="B35:B40"/>
    <mergeCell ref="M35:M40"/>
    <mergeCell ref="N35:N40"/>
    <mergeCell ref="O35:O40"/>
    <mergeCell ref="P35:P40"/>
    <mergeCell ref="A29:A34"/>
    <mergeCell ref="B29:B34"/>
    <mergeCell ref="M29:M34"/>
    <mergeCell ref="N29:N34"/>
    <mergeCell ref="O29:O34"/>
    <mergeCell ref="P17:P22"/>
    <mergeCell ref="A23:A28"/>
    <mergeCell ref="B23:B28"/>
    <mergeCell ref="M23:M28"/>
    <mergeCell ref="N23:N28"/>
    <mergeCell ref="O23:O28"/>
    <mergeCell ref="P23:P28"/>
    <mergeCell ref="A17:A22"/>
    <mergeCell ref="B17:B22"/>
    <mergeCell ref="M17:M22"/>
    <mergeCell ref="E3:E4"/>
    <mergeCell ref="O17:O22"/>
    <mergeCell ref="Q3:Q4"/>
    <mergeCell ref="B5:B10"/>
    <mergeCell ref="A5:A10"/>
    <mergeCell ref="C1:K2"/>
    <mergeCell ref="A11:A16"/>
    <mergeCell ref="B11:B16"/>
    <mergeCell ref="M11:M16"/>
    <mergeCell ref="N11:N16"/>
    <mergeCell ref="O11:O16"/>
    <mergeCell ref="P11:P16"/>
    <mergeCell ref="M5:M10"/>
    <mergeCell ref="N5:N10"/>
    <mergeCell ref="O5:O10"/>
    <mergeCell ref="P3:P4"/>
    <mergeCell ref="P5:P10"/>
    <mergeCell ref="C3:C4"/>
    <mergeCell ref="B3:B4"/>
    <mergeCell ref="A3:A4"/>
    <mergeCell ref="O3:O4"/>
    <mergeCell ref="M3:M4"/>
    <mergeCell ref="L3:L4"/>
    <mergeCell ref="N3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02"/>
  <sheetViews>
    <sheetView view="pageBreakPreview" topLeftCell="A13" zoomScale="60" zoomScaleNormal="70" workbookViewId="0">
      <selection activeCell="D10" sqref="D10"/>
    </sheetView>
  </sheetViews>
  <sheetFormatPr defaultColWidth="9.109375" defaultRowHeight="14.4"/>
  <cols>
    <col min="1" max="1" width="9.109375" style="8"/>
    <col min="2" max="3" width="11.109375" style="8" customWidth="1"/>
    <col min="4" max="4" width="18.109375" style="8" customWidth="1"/>
    <col min="5" max="5" width="11.109375" style="8" customWidth="1"/>
    <col min="6" max="16384" width="9.109375" style="8"/>
  </cols>
  <sheetData>
    <row r="2" spans="2:5" s="9" customFormat="1" ht="29.25" customHeight="1">
      <c r="B2" s="35" t="s">
        <v>57</v>
      </c>
      <c r="C2" s="36" t="s">
        <v>7</v>
      </c>
      <c r="D2" s="36" t="s">
        <v>73</v>
      </c>
      <c r="E2" s="37" t="s">
        <v>72</v>
      </c>
    </row>
    <row r="3" spans="2:5">
      <c r="B3" s="33">
        <f>'Capacity graph'!A5</f>
        <v>0</v>
      </c>
      <c r="C3" s="10">
        <f>'Capacity graph'!B5</f>
        <v>0</v>
      </c>
      <c r="D3" s="32">
        <v>54</v>
      </c>
      <c r="E3" s="34"/>
    </row>
    <row r="4" spans="2:5">
      <c r="B4" s="33">
        <f>'Capacity graph'!A11</f>
        <v>0</v>
      </c>
      <c r="C4" s="10">
        <f>'Capacity graph'!B11</f>
        <v>0</v>
      </c>
      <c r="D4" s="32">
        <v>80</v>
      </c>
      <c r="E4" s="34"/>
    </row>
    <row r="5" spans="2:5">
      <c r="B5" s="33">
        <f>'Capacity graph'!A17</f>
        <v>0</v>
      </c>
      <c r="C5" s="10">
        <f>'Capacity graph'!B17</f>
        <v>0</v>
      </c>
      <c r="D5" s="32">
        <v>77</v>
      </c>
      <c r="E5" s="34" t="str">
        <f>'Capacity graph'!P17</f>
        <v/>
      </c>
    </row>
    <row r="6" spans="2:5">
      <c r="B6" s="33">
        <f>'Capacity graph'!A23</f>
        <v>0</v>
      </c>
      <c r="C6" s="10">
        <f>'Capacity graph'!B23</f>
        <v>0</v>
      </c>
      <c r="D6" s="32">
        <v>60</v>
      </c>
      <c r="E6" s="34" t="str">
        <f>'Capacity graph'!P23</f>
        <v/>
      </c>
    </row>
    <row r="7" spans="2:5">
      <c r="B7" s="33">
        <f>'Capacity graph'!A29</f>
        <v>0</v>
      </c>
      <c r="C7" s="10">
        <f>'Capacity graph'!B29</f>
        <v>0</v>
      </c>
      <c r="D7" s="32">
        <v>43</v>
      </c>
      <c r="E7" s="34" t="str">
        <f>'Capacity graph'!P29</f>
        <v/>
      </c>
    </row>
    <row r="8" spans="2:5">
      <c r="B8" s="33">
        <f>'Capacity graph'!A35</f>
        <v>0</v>
      </c>
      <c r="C8" s="10">
        <f>'Capacity graph'!B35</f>
        <v>0</v>
      </c>
      <c r="D8" s="32">
        <v>44</v>
      </c>
      <c r="E8" s="34" t="str">
        <f>'Capacity graph'!P35</f>
        <v/>
      </c>
    </row>
    <row r="9" spans="2:5">
      <c r="B9" s="33">
        <f>'Capacity graph'!A41</f>
        <v>0</v>
      </c>
      <c r="C9" s="10">
        <f>'Capacity graph'!B41</f>
        <v>0</v>
      </c>
      <c r="D9" s="32">
        <v>42</v>
      </c>
      <c r="E9" s="34" t="str">
        <f>'Capacity graph'!P41</f>
        <v/>
      </c>
    </row>
    <row r="10" spans="2:5">
      <c r="B10" s="33">
        <f>'Capacity graph'!A47</f>
        <v>0</v>
      </c>
      <c r="C10" s="10">
        <f>'Capacity graph'!B47</f>
        <v>0</v>
      </c>
      <c r="D10" s="32" t="str">
        <f>'Capacity graph'!O47</f>
        <v/>
      </c>
      <c r="E10" s="34" t="str">
        <f>'Capacity graph'!P47</f>
        <v/>
      </c>
    </row>
    <row r="11" spans="2:5">
      <c r="B11" s="33">
        <f>'Capacity graph'!A53</f>
        <v>0</v>
      </c>
      <c r="C11" s="10">
        <f>'Capacity graph'!B53</f>
        <v>0</v>
      </c>
      <c r="D11" s="32" t="str">
        <f>'Capacity graph'!O53</f>
        <v/>
      </c>
      <c r="E11" s="34" t="str">
        <f>'Capacity graph'!P53</f>
        <v/>
      </c>
    </row>
    <row r="12" spans="2:5">
      <c r="B12" s="33">
        <f>'Capacity graph'!A59</f>
        <v>0</v>
      </c>
      <c r="C12" s="10">
        <f>'Capacity graph'!B59</f>
        <v>0</v>
      </c>
      <c r="D12" s="32" t="str">
        <f>'Capacity graph'!O59</f>
        <v/>
      </c>
      <c r="E12" s="34" t="str">
        <f>'Capacity graph'!P59</f>
        <v/>
      </c>
    </row>
    <row r="13" spans="2:5">
      <c r="B13" s="33">
        <f>'Capacity graph'!A65</f>
        <v>0</v>
      </c>
      <c r="C13" s="10">
        <f>'Capacity graph'!B65</f>
        <v>0</v>
      </c>
      <c r="D13" s="32" t="str">
        <f>'Capacity graph'!O65</f>
        <v/>
      </c>
      <c r="E13" s="34" t="str">
        <f>'Capacity graph'!P65</f>
        <v/>
      </c>
    </row>
    <row r="14" spans="2:5">
      <c r="B14" s="33">
        <f>'Capacity graph'!A71</f>
        <v>0</v>
      </c>
      <c r="C14" s="10">
        <f>'Capacity graph'!B71</f>
        <v>0</v>
      </c>
      <c r="D14" s="32" t="str">
        <f>'Capacity graph'!O71</f>
        <v/>
      </c>
      <c r="E14" s="34" t="str">
        <f>'Capacity graph'!P71</f>
        <v/>
      </c>
    </row>
    <row r="15" spans="2:5">
      <c r="B15" s="33">
        <f>'Capacity graph'!A77</f>
        <v>0</v>
      </c>
      <c r="C15" s="10">
        <f>'Capacity graph'!B77</f>
        <v>0</v>
      </c>
      <c r="D15" s="32" t="str">
        <f>'Capacity graph'!O77</f>
        <v/>
      </c>
      <c r="E15" s="34" t="str">
        <f>'Capacity graph'!P77</f>
        <v/>
      </c>
    </row>
    <row r="16" spans="2:5">
      <c r="B16" s="33">
        <f>'Capacity graph'!A83</f>
        <v>0</v>
      </c>
      <c r="C16" s="10">
        <f>'Capacity graph'!B83</f>
        <v>0</v>
      </c>
      <c r="D16" s="32" t="str">
        <f>'Capacity graph'!O83</f>
        <v/>
      </c>
      <c r="E16" s="34" t="str">
        <f>'Capacity graph'!P83</f>
        <v/>
      </c>
    </row>
    <row r="17" spans="2:5">
      <c r="B17" s="33">
        <f>'Capacity graph'!A89</f>
        <v>0</v>
      </c>
      <c r="C17" s="10">
        <f>'Capacity graph'!B89</f>
        <v>0</v>
      </c>
      <c r="D17" s="32" t="str">
        <f>'Capacity graph'!O89</f>
        <v/>
      </c>
      <c r="E17" s="34" t="str">
        <f>'Capacity graph'!P89</f>
        <v/>
      </c>
    </row>
    <row r="18" spans="2:5">
      <c r="B18" s="33">
        <f>'Capacity graph'!A95</f>
        <v>0</v>
      </c>
      <c r="C18" s="10">
        <f>'Capacity graph'!B95</f>
        <v>0</v>
      </c>
      <c r="D18" s="32" t="str">
        <f>'Capacity graph'!O95</f>
        <v/>
      </c>
      <c r="E18" s="34" t="str">
        <f>'Capacity graph'!P95</f>
        <v/>
      </c>
    </row>
    <row r="19" spans="2:5">
      <c r="B19" s="33">
        <f>'Capacity graph'!A101</f>
        <v>0</v>
      </c>
      <c r="C19" s="10">
        <f>'Capacity graph'!B101</f>
        <v>0</v>
      </c>
      <c r="D19" s="32" t="str">
        <f>'Capacity graph'!O101</f>
        <v/>
      </c>
      <c r="E19" s="34" t="str">
        <f>'Capacity graph'!P101</f>
        <v/>
      </c>
    </row>
    <row r="20" spans="2:5">
      <c r="B20" s="33">
        <f>'Capacity graph'!A107</f>
        <v>0</v>
      </c>
      <c r="C20" s="10">
        <f>'Capacity graph'!B107</f>
        <v>0</v>
      </c>
      <c r="D20" s="32" t="str">
        <f>'Capacity graph'!O107</f>
        <v/>
      </c>
      <c r="E20" s="34" t="str">
        <f>'Capacity graph'!P107</f>
        <v/>
      </c>
    </row>
    <row r="21" spans="2:5">
      <c r="B21" s="33">
        <f>'Capacity graph'!A113</f>
        <v>0</v>
      </c>
      <c r="C21" s="10">
        <f>'Capacity graph'!B113</f>
        <v>0</v>
      </c>
      <c r="D21" s="32" t="str">
        <f>'Capacity graph'!O113</f>
        <v/>
      </c>
      <c r="E21" s="34" t="str">
        <f>'Capacity graph'!P113</f>
        <v/>
      </c>
    </row>
    <row r="22" spans="2:5">
      <c r="B22" s="33">
        <f>'Capacity graph'!A119</f>
        <v>0</v>
      </c>
      <c r="C22" s="10">
        <f>'Capacity graph'!B119</f>
        <v>0</v>
      </c>
      <c r="D22" s="32" t="str">
        <f>'Capacity graph'!O119</f>
        <v/>
      </c>
      <c r="E22" s="34" t="str">
        <f>'Capacity graph'!P119</f>
        <v/>
      </c>
    </row>
    <row r="23" spans="2:5">
      <c r="B23" s="33">
        <f>'Capacity graph'!A125</f>
        <v>0</v>
      </c>
      <c r="C23" s="10">
        <f>'Capacity graph'!B125</f>
        <v>0</v>
      </c>
      <c r="D23" s="32" t="str">
        <f>'Capacity graph'!O125</f>
        <v/>
      </c>
      <c r="E23" s="34" t="str">
        <f>'Capacity graph'!P125</f>
        <v/>
      </c>
    </row>
    <row r="24" spans="2:5">
      <c r="B24" s="33">
        <f>'Capacity graph'!A131</f>
        <v>0</v>
      </c>
      <c r="C24" s="10">
        <f>'Capacity graph'!B131</f>
        <v>0</v>
      </c>
      <c r="D24" s="32" t="str">
        <f>'Capacity graph'!O131</f>
        <v/>
      </c>
      <c r="E24" s="34" t="str">
        <f>'Capacity graph'!P131</f>
        <v/>
      </c>
    </row>
    <row r="25" spans="2:5">
      <c r="B25" s="33">
        <f>'Capacity graph'!A137</f>
        <v>0</v>
      </c>
      <c r="C25" s="10">
        <f>'Capacity graph'!B137</f>
        <v>0</v>
      </c>
      <c r="D25" s="32" t="str">
        <f>'Capacity graph'!O137</f>
        <v/>
      </c>
      <c r="E25" s="34" t="str">
        <f>'Capacity graph'!P137</f>
        <v/>
      </c>
    </row>
    <row r="26" spans="2:5">
      <c r="B26" s="33">
        <f>'Capacity graph'!A143</f>
        <v>0</v>
      </c>
      <c r="C26" s="10">
        <f>'Capacity graph'!B143</f>
        <v>0</v>
      </c>
      <c r="D26" s="32" t="str">
        <f>'Capacity graph'!O143</f>
        <v/>
      </c>
      <c r="E26" s="34" t="str">
        <f>'Capacity graph'!P143</f>
        <v/>
      </c>
    </row>
    <row r="27" spans="2:5">
      <c r="B27" s="33">
        <f>'Capacity graph'!A149</f>
        <v>0</v>
      </c>
      <c r="C27" s="10">
        <f>'Capacity graph'!B149</f>
        <v>0</v>
      </c>
      <c r="D27" s="32" t="str">
        <f>'Capacity graph'!O149</f>
        <v/>
      </c>
      <c r="E27" s="34" t="str">
        <f>'Capacity graph'!P149</f>
        <v/>
      </c>
    </row>
    <row r="28" spans="2:5">
      <c r="B28" s="33">
        <f>'Capacity graph'!A155</f>
        <v>0</v>
      </c>
      <c r="C28" s="10">
        <f>'Capacity graph'!B155</f>
        <v>0</v>
      </c>
      <c r="D28" s="32" t="str">
        <f>'Capacity graph'!O155</f>
        <v/>
      </c>
      <c r="E28" s="34" t="str">
        <f>'Capacity graph'!P155</f>
        <v/>
      </c>
    </row>
    <row r="29" spans="2:5">
      <c r="B29" s="33">
        <f>'Capacity graph'!A161</f>
        <v>0</v>
      </c>
      <c r="C29" s="10">
        <f>'Capacity graph'!B161</f>
        <v>0</v>
      </c>
      <c r="D29" s="32" t="str">
        <f>'Capacity graph'!O161</f>
        <v/>
      </c>
      <c r="E29" s="34" t="str">
        <f>'Capacity graph'!P161</f>
        <v/>
      </c>
    </row>
    <row r="30" spans="2:5">
      <c r="B30" s="33">
        <f>'Capacity graph'!A167</f>
        <v>0</v>
      </c>
      <c r="C30" s="10">
        <f>'Capacity graph'!B167</f>
        <v>0</v>
      </c>
      <c r="D30" s="32" t="str">
        <f>'Capacity graph'!O167</f>
        <v/>
      </c>
      <c r="E30" s="34" t="str">
        <f>'Capacity graph'!P167</f>
        <v/>
      </c>
    </row>
    <row r="31" spans="2:5">
      <c r="B31" s="33">
        <f>'Capacity graph'!A173</f>
        <v>0</v>
      </c>
      <c r="C31" s="10">
        <f>'Capacity graph'!B173</f>
        <v>0</v>
      </c>
      <c r="D31" s="32" t="str">
        <f>'Capacity graph'!O173</f>
        <v/>
      </c>
      <c r="E31" s="34" t="str">
        <f>'Capacity graph'!P173</f>
        <v/>
      </c>
    </row>
    <row r="32" spans="2:5">
      <c r="B32" s="33">
        <f>'Capacity graph'!A179</f>
        <v>0</v>
      </c>
      <c r="C32" s="10">
        <f>'Capacity graph'!B179</f>
        <v>0</v>
      </c>
      <c r="D32" s="32" t="str">
        <f>'Capacity graph'!O179</f>
        <v/>
      </c>
      <c r="E32" s="34" t="str">
        <f>'Capacity graph'!P179</f>
        <v/>
      </c>
    </row>
    <row r="33" spans="2:5">
      <c r="B33" s="33">
        <f>'Capacity graph'!A185</f>
        <v>0</v>
      </c>
      <c r="C33" s="10">
        <f>'Capacity graph'!B185</f>
        <v>0</v>
      </c>
      <c r="D33" s="32" t="str">
        <f>'Capacity graph'!O185</f>
        <v/>
      </c>
      <c r="E33" s="34" t="str">
        <f>'Capacity graph'!P185</f>
        <v/>
      </c>
    </row>
    <row r="34" spans="2:5">
      <c r="B34" s="33">
        <f>'Capacity graph'!A191</f>
        <v>0</v>
      </c>
      <c r="C34" s="10">
        <f>'Capacity graph'!B191</f>
        <v>0</v>
      </c>
      <c r="D34" s="32" t="str">
        <f>'Capacity graph'!O191</f>
        <v/>
      </c>
      <c r="E34" s="34" t="str">
        <f>'Capacity graph'!P191</f>
        <v/>
      </c>
    </row>
    <row r="35" spans="2:5">
      <c r="B35" s="33">
        <f>'Capacity graph'!A197</f>
        <v>0</v>
      </c>
      <c r="C35" s="10">
        <f>'Capacity graph'!B197</f>
        <v>0</v>
      </c>
      <c r="D35" s="32" t="str">
        <f>'Capacity graph'!O197</f>
        <v/>
      </c>
      <c r="E35" s="34" t="str">
        <f>'Capacity graph'!P197</f>
        <v/>
      </c>
    </row>
    <row r="36" spans="2:5">
      <c r="B36" s="33">
        <f>'Capacity graph'!A203</f>
        <v>0</v>
      </c>
      <c r="C36" s="10">
        <f>'Capacity graph'!B203</f>
        <v>0</v>
      </c>
      <c r="D36" s="32" t="str">
        <f>'Capacity graph'!O203</f>
        <v/>
      </c>
      <c r="E36" s="34" t="str">
        <f>'Capacity graph'!P203</f>
        <v/>
      </c>
    </row>
    <row r="37" spans="2:5">
      <c r="B37" s="33">
        <f>'Capacity graph'!A209</f>
        <v>0</v>
      </c>
      <c r="C37" s="10">
        <f>'Capacity graph'!B209</f>
        <v>0</v>
      </c>
      <c r="D37" s="32" t="str">
        <f>'Capacity graph'!O209</f>
        <v/>
      </c>
      <c r="E37" s="34" t="str">
        <f>'Capacity graph'!P209</f>
        <v/>
      </c>
    </row>
    <row r="38" spans="2:5">
      <c r="B38" s="33">
        <f>'Capacity graph'!A215</f>
        <v>0</v>
      </c>
      <c r="C38" s="10">
        <f>'Capacity graph'!B215</f>
        <v>0</v>
      </c>
      <c r="D38" s="32" t="str">
        <f>'Capacity graph'!O215</f>
        <v/>
      </c>
      <c r="E38" s="34" t="str">
        <f>'Capacity graph'!P215</f>
        <v/>
      </c>
    </row>
    <row r="39" spans="2:5">
      <c r="B39" s="33">
        <f>'Capacity graph'!A221</f>
        <v>0</v>
      </c>
      <c r="C39" s="10">
        <f>'Capacity graph'!B221</f>
        <v>0</v>
      </c>
      <c r="D39" s="32" t="str">
        <f>'Capacity graph'!O221</f>
        <v/>
      </c>
      <c r="E39" s="34" t="str">
        <f>'Capacity graph'!P221</f>
        <v/>
      </c>
    </row>
    <row r="40" spans="2:5">
      <c r="B40" s="33">
        <f>'Capacity graph'!A227</f>
        <v>0</v>
      </c>
      <c r="C40" s="10">
        <f>'Capacity graph'!B227</f>
        <v>0</v>
      </c>
      <c r="D40" s="32" t="str">
        <f>'Capacity graph'!O227</f>
        <v/>
      </c>
      <c r="E40" s="34" t="str">
        <f>'Capacity graph'!P227</f>
        <v/>
      </c>
    </row>
    <row r="41" spans="2:5">
      <c r="B41" s="33">
        <f>'Capacity graph'!A233</f>
        <v>0</v>
      </c>
      <c r="C41" s="10">
        <f>'Capacity graph'!B233</f>
        <v>0</v>
      </c>
      <c r="D41" s="32" t="str">
        <f>'Capacity graph'!O233</f>
        <v/>
      </c>
      <c r="E41" s="34" t="str">
        <f>'Capacity graph'!P233</f>
        <v/>
      </c>
    </row>
    <row r="42" spans="2:5">
      <c r="B42" s="33">
        <f>'Capacity graph'!A239</f>
        <v>0</v>
      </c>
      <c r="C42" s="10">
        <f>'Capacity graph'!B239</f>
        <v>0</v>
      </c>
      <c r="D42" s="32" t="str">
        <f>'Capacity graph'!O239</f>
        <v/>
      </c>
      <c r="E42" s="34" t="str">
        <f>'Capacity graph'!P239</f>
        <v/>
      </c>
    </row>
    <row r="43" spans="2:5">
      <c r="B43" s="33">
        <f>'Capacity graph'!A245</f>
        <v>0</v>
      </c>
      <c r="C43" s="10">
        <f>'Capacity graph'!B245</f>
        <v>0</v>
      </c>
      <c r="D43" s="32" t="str">
        <f>'Capacity graph'!O245</f>
        <v/>
      </c>
      <c r="E43" s="34" t="str">
        <f>'Capacity graph'!P245</f>
        <v/>
      </c>
    </row>
    <row r="44" spans="2:5">
      <c r="B44" s="33">
        <f>'Capacity graph'!A251</f>
        <v>0</v>
      </c>
      <c r="C44" s="10">
        <f>'Capacity graph'!B251</f>
        <v>0</v>
      </c>
      <c r="D44" s="32" t="str">
        <f>'Capacity graph'!O251</f>
        <v/>
      </c>
      <c r="E44" s="34" t="str">
        <f>'Capacity graph'!P251</f>
        <v/>
      </c>
    </row>
    <row r="45" spans="2:5">
      <c r="B45" s="33">
        <f>'Capacity graph'!A257</f>
        <v>0</v>
      </c>
      <c r="C45" s="10">
        <f>'Capacity graph'!B257</f>
        <v>0</v>
      </c>
      <c r="D45" s="32" t="str">
        <f>'Capacity graph'!O257</f>
        <v/>
      </c>
      <c r="E45" s="34" t="str">
        <f>'Capacity graph'!P257</f>
        <v/>
      </c>
    </row>
    <row r="46" spans="2:5">
      <c r="B46" s="33">
        <f>'Capacity graph'!A263</f>
        <v>0</v>
      </c>
      <c r="C46" s="10">
        <f>'Capacity graph'!B263</f>
        <v>0</v>
      </c>
      <c r="D46" s="32" t="str">
        <f>'Capacity graph'!O263</f>
        <v/>
      </c>
      <c r="E46" s="34" t="str">
        <f>'Capacity graph'!P263</f>
        <v/>
      </c>
    </row>
    <row r="47" spans="2:5">
      <c r="B47" s="33">
        <f>'Capacity graph'!A269</f>
        <v>0</v>
      </c>
      <c r="C47" s="10">
        <f>'Capacity graph'!B269</f>
        <v>0</v>
      </c>
      <c r="D47" s="32" t="str">
        <f>'Capacity graph'!O269</f>
        <v/>
      </c>
      <c r="E47" s="34" t="str">
        <f>'Capacity graph'!P269</f>
        <v/>
      </c>
    </row>
    <row r="48" spans="2:5">
      <c r="B48" s="33">
        <f>'Capacity graph'!A275</f>
        <v>0</v>
      </c>
      <c r="C48" s="10">
        <f>'Capacity graph'!B275</f>
        <v>0</v>
      </c>
      <c r="D48" s="32" t="str">
        <f>'Capacity graph'!O275</f>
        <v/>
      </c>
      <c r="E48" s="34" t="str">
        <f>'Capacity graph'!P275</f>
        <v/>
      </c>
    </row>
    <row r="49" spans="2:5">
      <c r="B49" s="33">
        <f>'Capacity graph'!A281</f>
        <v>0</v>
      </c>
      <c r="C49" s="10">
        <f>'Capacity graph'!B281</f>
        <v>0</v>
      </c>
      <c r="D49" s="32" t="str">
        <f>'Capacity graph'!O281</f>
        <v/>
      </c>
      <c r="E49" s="34" t="str">
        <f>'Capacity graph'!P281</f>
        <v/>
      </c>
    </row>
    <row r="50" spans="2:5">
      <c r="B50" s="33">
        <f>'Capacity graph'!A287</f>
        <v>0</v>
      </c>
      <c r="C50" s="10">
        <f>'Capacity graph'!B287</f>
        <v>0</v>
      </c>
      <c r="D50" s="32" t="str">
        <f>'Capacity graph'!O287</f>
        <v/>
      </c>
      <c r="E50" s="34" t="str">
        <f>'Capacity graph'!P287</f>
        <v/>
      </c>
    </row>
    <row r="51" spans="2:5">
      <c r="B51" s="33">
        <f>'Capacity graph'!A293</f>
        <v>0</v>
      </c>
      <c r="C51" s="10">
        <f>'Capacity graph'!B293</f>
        <v>0</v>
      </c>
      <c r="D51" s="32" t="str">
        <f>'Capacity graph'!O293</f>
        <v/>
      </c>
      <c r="E51" s="34" t="str">
        <f>'Capacity graph'!P293</f>
        <v/>
      </c>
    </row>
    <row r="52" spans="2:5">
      <c r="B52" s="33">
        <f>'Capacity graph'!A299</f>
        <v>0</v>
      </c>
      <c r="C52" s="10">
        <f>'Capacity graph'!B299</f>
        <v>0</v>
      </c>
      <c r="D52" s="32" t="str">
        <f>'Capacity graph'!O299</f>
        <v/>
      </c>
      <c r="E52" s="34" t="str">
        <f>'Capacity graph'!P299</f>
        <v/>
      </c>
    </row>
    <row r="53" spans="2:5">
      <c r="B53" s="33">
        <f>'Capacity graph'!A305</f>
        <v>0</v>
      </c>
      <c r="C53" s="10">
        <f>'Capacity graph'!B305</f>
        <v>0</v>
      </c>
      <c r="D53" s="32" t="str">
        <f>'Capacity graph'!O305</f>
        <v/>
      </c>
      <c r="E53" s="34" t="str">
        <f>'Capacity graph'!P305</f>
        <v/>
      </c>
    </row>
    <row r="54" spans="2:5">
      <c r="B54" s="33">
        <f>'Capacity graph'!A311</f>
        <v>0</v>
      </c>
      <c r="C54" s="10">
        <f>'Capacity graph'!B311</f>
        <v>0</v>
      </c>
      <c r="D54" s="32" t="str">
        <f>'Capacity graph'!O311</f>
        <v/>
      </c>
      <c r="E54" s="34" t="str">
        <f>'Capacity graph'!P311</f>
        <v/>
      </c>
    </row>
    <row r="55" spans="2:5">
      <c r="B55" s="33">
        <f>'Capacity graph'!A317</f>
        <v>0</v>
      </c>
      <c r="C55" s="10">
        <f>'Capacity graph'!B317</f>
        <v>0</v>
      </c>
      <c r="D55" s="32" t="str">
        <f>'Capacity graph'!O317</f>
        <v/>
      </c>
      <c r="E55" s="34" t="str">
        <f>'Capacity graph'!P317</f>
        <v/>
      </c>
    </row>
    <row r="56" spans="2:5">
      <c r="B56" s="33">
        <f>'Capacity graph'!A323</f>
        <v>0</v>
      </c>
      <c r="C56" s="10">
        <f>'Capacity graph'!B323</f>
        <v>0</v>
      </c>
      <c r="D56" s="32" t="str">
        <f>'Capacity graph'!O323</f>
        <v/>
      </c>
      <c r="E56" s="34" t="str">
        <f>'Capacity graph'!P323</f>
        <v/>
      </c>
    </row>
    <row r="57" spans="2:5">
      <c r="B57" s="33">
        <f>'Capacity graph'!A329</f>
        <v>0</v>
      </c>
      <c r="C57" s="10">
        <f>'Capacity graph'!B329</f>
        <v>0</v>
      </c>
      <c r="D57" s="32" t="str">
        <f>'Capacity graph'!O329</f>
        <v/>
      </c>
      <c r="E57" s="34" t="str">
        <f>'Capacity graph'!P329</f>
        <v/>
      </c>
    </row>
    <row r="58" spans="2:5">
      <c r="B58" s="33">
        <f>'Capacity graph'!A335</f>
        <v>0</v>
      </c>
      <c r="C58" s="10">
        <f>'Capacity graph'!B335</f>
        <v>0</v>
      </c>
      <c r="D58" s="32" t="str">
        <f>'Capacity graph'!O335</f>
        <v/>
      </c>
      <c r="E58" s="34" t="str">
        <f>'Capacity graph'!P335</f>
        <v/>
      </c>
    </row>
    <row r="59" spans="2:5">
      <c r="B59" s="33">
        <f>'Capacity graph'!A341</f>
        <v>0</v>
      </c>
      <c r="C59" s="10">
        <f>'Capacity graph'!B341</f>
        <v>0</v>
      </c>
      <c r="D59" s="32" t="str">
        <f>'Capacity graph'!O341</f>
        <v/>
      </c>
      <c r="E59" s="34" t="str">
        <f>'Capacity graph'!P341</f>
        <v/>
      </c>
    </row>
    <row r="60" spans="2:5">
      <c r="B60" s="33">
        <f>'Capacity graph'!A347</f>
        <v>0</v>
      </c>
      <c r="C60" s="10">
        <f>'Capacity graph'!B347</f>
        <v>0</v>
      </c>
      <c r="D60" s="32" t="str">
        <f>'Capacity graph'!O347</f>
        <v/>
      </c>
      <c r="E60" s="34" t="str">
        <f>'Capacity graph'!P347</f>
        <v/>
      </c>
    </row>
    <row r="61" spans="2:5">
      <c r="B61" s="33">
        <f>'Capacity graph'!A353</f>
        <v>0</v>
      </c>
      <c r="C61" s="10">
        <f>'Capacity graph'!B353</f>
        <v>0</v>
      </c>
      <c r="D61" s="32" t="str">
        <f>'Capacity graph'!O353</f>
        <v/>
      </c>
      <c r="E61" s="34" t="str">
        <f>'Capacity graph'!P353</f>
        <v/>
      </c>
    </row>
    <row r="62" spans="2:5">
      <c r="B62" s="33">
        <f>'Capacity graph'!A359</f>
        <v>0</v>
      </c>
      <c r="C62" s="10">
        <f>'Capacity graph'!B359</f>
        <v>0</v>
      </c>
      <c r="D62" s="32" t="str">
        <f>'Capacity graph'!O359</f>
        <v/>
      </c>
      <c r="E62" s="34" t="str">
        <f>'Capacity graph'!P359</f>
        <v/>
      </c>
    </row>
    <row r="63" spans="2:5">
      <c r="B63" s="33">
        <f>'Capacity graph'!A365</f>
        <v>0</v>
      </c>
      <c r="C63" s="10">
        <f>'Capacity graph'!B365</f>
        <v>0</v>
      </c>
      <c r="D63" s="32" t="str">
        <f>'Capacity graph'!O365</f>
        <v/>
      </c>
      <c r="E63" s="34" t="str">
        <f>'Capacity graph'!P365</f>
        <v/>
      </c>
    </row>
    <row r="64" spans="2:5">
      <c r="B64" s="33">
        <f>'Capacity graph'!A371</f>
        <v>0</v>
      </c>
      <c r="C64" s="10">
        <f>'Capacity graph'!B371</f>
        <v>0</v>
      </c>
      <c r="D64" s="32" t="str">
        <f>'Capacity graph'!O371</f>
        <v/>
      </c>
      <c r="E64" s="34" t="str">
        <f>'Capacity graph'!P371</f>
        <v/>
      </c>
    </row>
    <row r="65" spans="2:5">
      <c r="B65" s="33">
        <f>'Capacity graph'!A377</f>
        <v>0</v>
      </c>
      <c r="C65" s="10">
        <f>'Capacity graph'!B377</f>
        <v>0</v>
      </c>
      <c r="D65" s="32" t="str">
        <f>'Capacity graph'!O377</f>
        <v/>
      </c>
      <c r="E65" s="34" t="str">
        <f>'Capacity graph'!P377</f>
        <v/>
      </c>
    </row>
    <row r="66" spans="2:5">
      <c r="B66" s="33">
        <f>'Capacity graph'!A383</f>
        <v>0</v>
      </c>
      <c r="C66" s="10">
        <f>'Capacity graph'!B383</f>
        <v>0</v>
      </c>
      <c r="D66" s="32" t="str">
        <f>'Capacity graph'!O383</f>
        <v/>
      </c>
      <c r="E66" s="34" t="str">
        <f>'Capacity graph'!P383</f>
        <v/>
      </c>
    </row>
    <row r="67" spans="2:5">
      <c r="B67" s="33">
        <f>'Capacity graph'!A389</f>
        <v>0</v>
      </c>
      <c r="C67" s="10">
        <f>'Capacity graph'!B389</f>
        <v>0</v>
      </c>
      <c r="D67" s="32" t="str">
        <f>'Capacity graph'!O389</f>
        <v/>
      </c>
      <c r="E67" s="34" t="str">
        <f>'Capacity graph'!P389</f>
        <v/>
      </c>
    </row>
    <row r="68" spans="2:5">
      <c r="B68" s="33">
        <f>'Capacity graph'!A395</f>
        <v>0</v>
      </c>
      <c r="C68" s="10">
        <f>'Capacity graph'!B395</f>
        <v>0</v>
      </c>
      <c r="D68" s="32" t="str">
        <f>'Capacity graph'!O395</f>
        <v/>
      </c>
      <c r="E68" s="34" t="str">
        <f>'Capacity graph'!P395</f>
        <v/>
      </c>
    </row>
    <row r="69" spans="2:5">
      <c r="B69" s="33">
        <f>'Capacity graph'!A401</f>
        <v>0</v>
      </c>
      <c r="C69" s="10">
        <f>'Capacity graph'!B401</f>
        <v>0</v>
      </c>
      <c r="D69" s="32" t="str">
        <f>'Capacity graph'!O401</f>
        <v/>
      </c>
      <c r="E69" s="34" t="str">
        <f>'Capacity graph'!P401</f>
        <v/>
      </c>
    </row>
    <row r="70" spans="2:5">
      <c r="B70" s="33">
        <f>'Capacity graph'!A407</f>
        <v>0</v>
      </c>
      <c r="C70" s="10">
        <f>'Capacity graph'!B407</f>
        <v>0</v>
      </c>
      <c r="D70" s="32" t="str">
        <f>'Capacity graph'!O407</f>
        <v/>
      </c>
      <c r="E70" s="34" t="str">
        <f>'Capacity graph'!P407</f>
        <v/>
      </c>
    </row>
    <row r="71" spans="2:5">
      <c r="B71" s="33">
        <f>'Capacity graph'!A413</f>
        <v>0</v>
      </c>
      <c r="C71" s="10">
        <f>'Capacity graph'!B413</f>
        <v>0</v>
      </c>
      <c r="D71" s="32" t="str">
        <f>'Capacity graph'!O413</f>
        <v/>
      </c>
      <c r="E71" s="34" t="str">
        <f>'Capacity graph'!P413</f>
        <v/>
      </c>
    </row>
    <row r="72" spans="2:5">
      <c r="B72" s="33">
        <f>'Capacity graph'!A419</f>
        <v>0</v>
      </c>
      <c r="C72" s="10">
        <f>'Capacity graph'!B419</f>
        <v>0</v>
      </c>
      <c r="D72" s="32" t="str">
        <f>'Capacity graph'!O419</f>
        <v/>
      </c>
      <c r="E72" s="34" t="str">
        <f>'Capacity graph'!P419</f>
        <v/>
      </c>
    </row>
    <row r="73" spans="2:5">
      <c r="B73" s="33">
        <f>'Capacity graph'!A425</f>
        <v>0</v>
      </c>
      <c r="C73" s="10">
        <f>'Capacity graph'!B425</f>
        <v>0</v>
      </c>
      <c r="D73" s="32" t="str">
        <f>'Capacity graph'!O425</f>
        <v/>
      </c>
      <c r="E73" s="34" t="str">
        <f>'Capacity graph'!P425</f>
        <v/>
      </c>
    </row>
    <row r="74" spans="2:5">
      <c r="B74" s="33">
        <f>'Capacity graph'!A431</f>
        <v>0</v>
      </c>
      <c r="C74" s="10">
        <f>'Capacity graph'!B431</f>
        <v>0</v>
      </c>
      <c r="D74" s="32" t="str">
        <f>'Capacity graph'!O431</f>
        <v/>
      </c>
      <c r="E74" s="34" t="str">
        <f>'Capacity graph'!P431</f>
        <v/>
      </c>
    </row>
    <row r="75" spans="2:5">
      <c r="B75" s="33">
        <f>'Capacity graph'!A437</f>
        <v>0</v>
      </c>
      <c r="C75" s="10">
        <f>'Capacity graph'!B437</f>
        <v>0</v>
      </c>
      <c r="D75" s="32" t="str">
        <f>'Capacity graph'!O437</f>
        <v/>
      </c>
      <c r="E75" s="34" t="str">
        <f>'Capacity graph'!P437</f>
        <v/>
      </c>
    </row>
    <row r="76" spans="2:5">
      <c r="B76" s="33">
        <f>'Capacity graph'!A443</f>
        <v>0</v>
      </c>
      <c r="C76" s="10">
        <f>'Capacity graph'!B443</f>
        <v>0</v>
      </c>
      <c r="D76" s="32" t="str">
        <f>'Capacity graph'!O443</f>
        <v/>
      </c>
      <c r="E76" s="34" t="str">
        <f>'Capacity graph'!P443</f>
        <v/>
      </c>
    </row>
    <row r="77" spans="2:5">
      <c r="B77" s="33">
        <f>'Capacity graph'!A449</f>
        <v>0</v>
      </c>
      <c r="C77" s="10">
        <f>'Capacity graph'!B449</f>
        <v>0</v>
      </c>
      <c r="D77" s="32" t="str">
        <f>'Capacity graph'!O449</f>
        <v/>
      </c>
      <c r="E77" s="34" t="str">
        <f>'Capacity graph'!P449</f>
        <v/>
      </c>
    </row>
    <row r="78" spans="2:5">
      <c r="B78" s="33">
        <f>'Capacity graph'!A455</f>
        <v>0</v>
      </c>
      <c r="C78" s="10">
        <f>'Capacity graph'!B455</f>
        <v>0</v>
      </c>
      <c r="D78" s="32" t="str">
        <f>'Capacity graph'!O455</f>
        <v/>
      </c>
      <c r="E78" s="34" t="str">
        <f>'Capacity graph'!P455</f>
        <v/>
      </c>
    </row>
    <row r="79" spans="2:5">
      <c r="B79" s="33">
        <f>'Capacity graph'!A461</f>
        <v>0</v>
      </c>
      <c r="C79" s="10">
        <f>'Capacity graph'!B461</f>
        <v>0</v>
      </c>
      <c r="D79" s="32" t="str">
        <f>'Capacity graph'!O461</f>
        <v/>
      </c>
      <c r="E79" s="34" t="str">
        <f>'Capacity graph'!P461</f>
        <v/>
      </c>
    </row>
    <row r="80" spans="2:5">
      <c r="B80" s="33">
        <f>'Capacity graph'!A467</f>
        <v>0</v>
      </c>
      <c r="C80" s="10">
        <f>'Capacity graph'!B467</f>
        <v>0</v>
      </c>
      <c r="D80" s="32" t="str">
        <f>'Capacity graph'!O467</f>
        <v/>
      </c>
      <c r="E80" s="34" t="str">
        <f>'Capacity graph'!P467</f>
        <v/>
      </c>
    </row>
    <row r="81" spans="2:5">
      <c r="B81" s="33">
        <f>'Capacity graph'!A473</f>
        <v>0</v>
      </c>
      <c r="C81" s="10">
        <f>'Capacity graph'!B473</f>
        <v>0</v>
      </c>
      <c r="D81" s="32" t="str">
        <f>'Capacity graph'!O473</f>
        <v/>
      </c>
      <c r="E81" s="34" t="str">
        <f>'Capacity graph'!P473</f>
        <v/>
      </c>
    </row>
    <row r="82" spans="2:5">
      <c r="B82" s="33">
        <f>'Capacity graph'!A479</f>
        <v>0</v>
      </c>
      <c r="C82" s="10">
        <f>'Capacity graph'!B479</f>
        <v>0</v>
      </c>
      <c r="D82" s="32" t="str">
        <f>'Capacity graph'!O479</f>
        <v/>
      </c>
      <c r="E82" s="34" t="str">
        <f>'Capacity graph'!P479</f>
        <v/>
      </c>
    </row>
    <row r="83" spans="2:5">
      <c r="B83" s="33">
        <f>'Capacity graph'!A485</f>
        <v>0</v>
      </c>
      <c r="C83" s="10">
        <f>'Capacity graph'!B485</f>
        <v>0</v>
      </c>
      <c r="D83" s="32" t="str">
        <f>'Capacity graph'!O485</f>
        <v/>
      </c>
      <c r="E83" s="34" t="str">
        <f>'Capacity graph'!P485</f>
        <v/>
      </c>
    </row>
    <row r="84" spans="2:5">
      <c r="B84" s="33">
        <f>'Capacity graph'!A491</f>
        <v>0</v>
      </c>
      <c r="C84" s="10">
        <f>'Capacity graph'!B491</f>
        <v>0</v>
      </c>
      <c r="D84" s="32" t="str">
        <f>'Capacity graph'!O491</f>
        <v/>
      </c>
      <c r="E84" s="34" t="str">
        <f>'Capacity graph'!P491</f>
        <v/>
      </c>
    </row>
    <row r="85" spans="2:5">
      <c r="B85" s="33">
        <f>'Capacity graph'!A497</f>
        <v>0</v>
      </c>
      <c r="C85" s="10">
        <f>'Capacity graph'!B497</f>
        <v>0</v>
      </c>
      <c r="D85" s="32" t="str">
        <f>'Capacity graph'!O497</f>
        <v/>
      </c>
      <c r="E85" s="34" t="str">
        <f>'Capacity graph'!P497</f>
        <v/>
      </c>
    </row>
    <row r="86" spans="2:5">
      <c r="B86" s="33">
        <f>'Capacity graph'!A503</f>
        <v>0</v>
      </c>
      <c r="C86" s="10">
        <f>'Capacity graph'!B503</f>
        <v>0</v>
      </c>
      <c r="D86" s="32" t="str">
        <f>'Capacity graph'!O503</f>
        <v/>
      </c>
      <c r="E86" s="34" t="str">
        <f>'Capacity graph'!P503</f>
        <v/>
      </c>
    </row>
    <row r="87" spans="2:5">
      <c r="B87" s="33">
        <f>'Capacity graph'!A509</f>
        <v>0</v>
      </c>
      <c r="C87" s="10">
        <f>'Capacity graph'!B509</f>
        <v>0</v>
      </c>
      <c r="D87" s="32" t="str">
        <f>'Capacity graph'!O509</f>
        <v/>
      </c>
      <c r="E87" s="34" t="str">
        <f>'Capacity graph'!P509</f>
        <v/>
      </c>
    </row>
    <row r="88" spans="2:5">
      <c r="B88" s="33">
        <f>'Capacity graph'!A515</f>
        <v>0</v>
      </c>
      <c r="C88" s="10">
        <f>'Capacity graph'!B515</f>
        <v>0</v>
      </c>
      <c r="D88" s="32" t="str">
        <f>'Capacity graph'!O515</f>
        <v/>
      </c>
      <c r="E88" s="34" t="str">
        <f>'Capacity graph'!P515</f>
        <v/>
      </c>
    </row>
    <row r="89" spans="2:5">
      <c r="B89" s="33">
        <f>'Capacity graph'!A521</f>
        <v>0</v>
      </c>
      <c r="C89" s="10">
        <f>'Capacity graph'!B521</f>
        <v>0</v>
      </c>
      <c r="D89" s="32" t="str">
        <f>'Capacity graph'!O521</f>
        <v/>
      </c>
      <c r="E89" s="34" t="str">
        <f>'Capacity graph'!P521</f>
        <v/>
      </c>
    </row>
    <row r="90" spans="2:5">
      <c r="B90" s="33">
        <f>'Capacity graph'!A527</f>
        <v>0</v>
      </c>
      <c r="C90" s="10">
        <f>'Capacity graph'!B527</f>
        <v>0</v>
      </c>
      <c r="D90" s="32" t="str">
        <f>'Capacity graph'!O527</f>
        <v/>
      </c>
      <c r="E90" s="34" t="str">
        <f>'Capacity graph'!P527</f>
        <v/>
      </c>
    </row>
    <row r="91" spans="2:5">
      <c r="B91" s="33">
        <f>'Capacity graph'!A533</f>
        <v>0</v>
      </c>
      <c r="C91" s="10">
        <f>'Capacity graph'!B533</f>
        <v>0</v>
      </c>
      <c r="D91" s="32" t="str">
        <f>'Capacity graph'!O533</f>
        <v/>
      </c>
      <c r="E91" s="34" t="str">
        <f>'Capacity graph'!P533</f>
        <v/>
      </c>
    </row>
    <row r="92" spans="2:5">
      <c r="B92" s="33">
        <f>'Capacity graph'!A539</f>
        <v>0</v>
      </c>
      <c r="C92" s="10">
        <f>'Capacity graph'!B539</f>
        <v>0</v>
      </c>
      <c r="D92" s="32" t="str">
        <f>'Capacity graph'!O539</f>
        <v/>
      </c>
      <c r="E92" s="34" t="str">
        <f>'Capacity graph'!P539</f>
        <v/>
      </c>
    </row>
    <row r="93" spans="2:5">
      <c r="B93" s="33">
        <f>'Capacity graph'!A545</f>
        <v>0</v>
      </c>
      <c r="C93" s="10">
        <f>'Capacity graph'!B545</f>
        <v>0</v>
      </c>
      <c r="D93" s="32" t="str">
        <f>'Capacity graph'!O545</f>
        <v/>
      </c>
      <c r="E93" s="34" t="str">
        <f>'Capacity graph'!P545</f>
        <v/>
      </c>
    </row>
    <row r="94" spans="2:5">
      <c r="B94" s="33">
        <f>'Capacity graph'!A551</f>
        <v>0</v>
      </c>
      <c r="C94" s="10">
        <f>'Capacity graph'!B551</f>
        <v>0</v>
      </c>
      <c r="D94" s="32" t="str">
        <f>'Capacity graph'!O551</f>
        <v/>
      </c>
      <c r="E94" s="34" t="str">
        <f>'Capacity graph'!P551</f>
        <v/>
      </c>
    </row>
    <row r="95" spans="2:5">
      <c r="B95" s="33">
        <f>'Capacity graph'!A557</f>
        <v>0</v>
      </c>
      <c r="C95" s="10">
        <f>'Capacity graph'!B557</f>
        <v>0</v>
      </c>
      <c r="D95" s="32" t="str">
        <f>'Capacity graph'!O557</f>
        <v/>
      </c>
      <c r="E95" s="34" t="str">
        <f>'Capacity graph'!P557</f>
        <v/>
      </c>
    </row>
    <row r="96" spans="2:5">
      <c r="B96" s="33">
        <f>'Capacity graph'!A563</f>
        <v>0</v>
      </c>
      <c r="C96" s="10">
        <f>'Capacity graph'!B563</f>
        <v>0</v>
      </c>
      <c r="D96" s="32" t="str">
        <f>'Capacity graph'!O563</f>
        <v/>
      </c>
      <c r="E96" s="34" t="str">
        <f>'Capacity graph'!P563</f>
        <v/>
      </c>
    </row>
    <row r="97" spans="2:5">
      <c r="B97" s="33">
        <f>'Capacity graph'!A569</f>
        <v>0</v>
      </c>
      <c r="C97" s="10">
        <f>'Capacity graph'!B569</f>
        <v>0</v>
      </c>
      <c r="D97" s="32" t="str">
        <f>'Capacity graph'!O569</f>
        <v/>
      </c>
      <c r="E97" s="34" t="str">
        <f>'Capacity graph'!P569</f>
        <v/>
      </c>
    </row>
    <row r="98" spans="2:5">
      <c r="B98" s="33">
        <f>'Capacity graph'!A575</f>
        <v>0</v>
      </c>
      <c r="C98" s="10">
        <f>'Capacity graph'!B575</f>
        <v>0</v>
      </c>
      <c r="D98" s="32" t="str">
        <f>'Capacity graph'!O575</f>
        <v/>
      </c>
      <c r="E98" s="34" t="str">
        <f>'Capacity graph'!P575</f>
        <v/>
      </c>
    </row>
    <row r="99" spans="2:5">
      <c r="B99" s="33">
        <f>'Capacity graph'!A581</f>
        <v>0</v>
      </c>
      <c r="C99" s="10">
        <f>'Capacity graph'!B581</f>
        <v>0</v>
      </c>
      <c r="D99" s="32" t="str">
        <f>'Capacity graph'!O581</f>
        <v/>
      </c>
      <c r="E99" s="34" t="str">
        <f>'Capacity graph'!P581</f>
        <v/>
      </c>
    </row>
    <row r="100" spans="2:5">
      <c r="B100" s="33">
        <f>'Capacity graph'!A587</f>
        <v>0</v>
      </c>
      <c r="C100" s="10">
        <f>'Capacity graph'!B587</f>
        <v>0</v>
      </c>
      <c r="D100" s="32" t="str">
        <f>'Capacity graph'!O587</f>
        <v/>
      </c>
      <c r="E100" s="34" t="str">
        <f>'Capacity graph'!P587</f>
        <v/>
      </c>
    </row>
    <row r="101" spans="2:5">
      <c r="B101" s="33">
        <f>'Capacity graph'!A593</f>
        <v>0</v>
      </c>
      <c r="C101" s="10">
        <f>'Capacity graph'!B593</f>
        <v>0</v>
      </c>
      <c r="D101" s="32" t="str">
        <f>'Capacity graph'!O593</f>
        <v/>
      </c>
      <c r="E101" s="34" t="str">
        <f>'Capacity graph'!P593</f>
        <v/>
      </c>
    </row>
    <row r="102" spans="2:5">
      <c r="B102" s="38">
        <f>'Capacity graph'!A599</f>
        <v>0</v>
      </c>
      <c r="C102" s="39">
        <f>'Capacity graph'!B599</f>
        <v>0</v>
      </c>
      <c r="D102" s="40" t="str">
        <f>'Capacity graph'!O599</f>
        <v/>
      </c>
      <c r="E102" s="41" t="str">
        <f>'Capacity graph'!P599</f>
        <v/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OB</vt:lpstr>
      <vt:lpstr>Lay out</vt:lpstr>
      <vt:lpstr>Feeding plan</vt:lpstr>
      <vt:lpstr>Capacity graph</vt:lpstr>
      <vt:lpstr>Bar chart</vt:lpstr>
      <vt:lpstr>'Feeding plan'!Print_Area</vt:lpstr>
      <vt:lpstr>'Lay out'!Print_Area</vt:lpstr>
      <vt:lpstr>'Feeding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</dc:creator>
  <cp:lastModifiedBy>GSD</cp:lastModifiedBy>
  <cp:lastPrinted>2025-05-17T04:20:52Z</cp:lastPrinted>
  <dcterms:created xsi:type="dcterms:W3CDTF">2015-02-16T06:18:00Z</dcterms:created>
  <dcterms:modified xsi:type="dcterms:W3CDTF">2025-10-09T07:00:00Z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5577E17C67794F7B9EF3A5D28DF7A2E9</vt:lpwstr>
  </property>
  <property fmtid="{D5CDD505-2E9C-101B-9397-08002B2CF9AE}" pid="3" name="KSOProductBuildVer">
    <vt:lpwstr>1033-11.2.0.11537</vt:lpwstr>
  </property>
</Properties>
</file>